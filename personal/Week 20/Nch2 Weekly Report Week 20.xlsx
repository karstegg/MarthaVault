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10063554\Desktop\Nch2 UG\Weekly reports\Nov 2025\"/>
    </mc:Choice>
  </mc:AlternateContent>
  <bookViews>
    <workbookView xWindow="0" yWindow="0" windowWidth="23040" windowHeight="9072"/>
  </bookViews>
  <sheets>
    <sheet name="Eng Weekly report" sheetId="1" r:id="rId1"/>
    <sheet name="Compliance report" sheetId="155" r:id="rId2"/>
    <sheet name="Quality report" sheetId="156" r:id="rId3"/>
    <sheet name="Service schedule" sheetId="137" r:id="rId4"/>
    <sheet name="Oil report" sheetId="136" r:id="rId5"/>
    <sheet name="Fermel Weekly" sheetId="154" r:id="rId6"/>
    <sheet name="Blocked chutes" sheetId="159" r:id="rId7"/>
  </sheets>
  <externalReferences>
    <externalReference r:id="rId8"/>
    <externalReference r:id="rId9"/>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4" i="154" l="1"/>
  <c r="J14" i="154"/>
  <c r="L14" i="154" s="1"/>
  <c r="L13" i="154"/>
  <c r="L12" i="154"/>
  <c r="L11" i="154"/>
  <c r="L10" i="154"/>
  <c r="L9" i="154"/>
  <c r="L8" i="154"/>
  <c r="L7" i="154"/>
  <c r="L6" i="154"/>
  <c r="L5" i="154"/>
  <c r="L4" i="154"/>
  <c r="L3" i="154"/>
  <c r="W42" i="156" l="1"/>
  <c r="M42" i="156"/>
  <c r="W41" i="156"/>
  <c r="M41" i="156"/>
  <c r="W40" i="156"/>
  <c r="M40" i="156"/>
  <c r="W39" i="156"/>
  <c r="M39" i="156"/>
  <c r="W38" i="156"/>
  <c r="M38" i="156"/>
  <c r="W37" i="156"/>
  <c r="M37" i="156"/>
  <c r="W36" i="156"/>
  <c r="M36" i="156"/>
  <c r="W35" i="156"/>
  <c r="M35" i="156"/>
  <c r="W34" i="156"/>
  <c r="M34" i="156"/>
  <c r="W33" i="156"/>
  <c r="M33" i="156"/>
  <c r="W32" i="156"/>
  <c r="M32" i="156"/>
  <c r="W31" i="156"/>
  <c r="M31" i="156"/>
  <c r="W30" i="156"/>
  <c r="M30" i="156"/>
  <c r="W29" i="156"/>
  <c r="M29" i="156"/>
  <c r="W28" i="156"/>
  <c r="M28" i="156"/>
  <c r="W27" i="156"/>
  <c r="M27" i="156"/>
  <c r="W26" i="156"/>
  <c r="W25" i="156"/>
  <c r="M25" i="156"/>
  <c r="W24" i="156"/>
  <c r="M24" i="156"/>
  <c r="W23" i="156"/>
  <c r="M23" i="156"/>
  <c r="W22" i="156"/>
  <c r="M22" i="156"/>
  <c r="W21" i="156"/>
  <c r="M21" i="156"/>
  <c r="W20" i="156"/>
  <c r="M20" i="156"/>
  <c r="W19" i="156"/>
  <c r="M19" i="156"/>
  <c r="W18" i="156"/>
  <c r="M18" i="156"/>
  <c r="W17" i="156"/>
  <c r="M17" i="156"/>
  <c r="W16" i="156"/>
  <c r="M16" i="156"/>
  <c r="W15" i="156"/>
  <c r="M15" i="156"/>
  <c r="W14" i="156"/>
  <c r="M14" i="156"/>
  <c r="W13" i="156"/>
  <c r="M13" i="156"/>
  <c r="W12" i="156"/>
  <c r="M12" i="156"/>
  <c r="W11" i="156"/>
  <c r="M11" i="156"/>
  <c r="W10" i="156"/>
  <c r="M10" i="156"/>
  <c r="W9" i="156"/>
  <c r="M9" i="156"/>
  <c r="M7" i="156"/>
  <c r="G115" i="155"/>
  <c r="G114" i="155"/>
  <c r="G113" i="155"/>
  <c r="G112" i="155"/>
  <c r="G111" i="155"/>
  <c r="G110" i="155"/>
  <c r="G109" i="155"/>
  <c r="G108" i="155"/>
  <c r="I67" i="155"/>
  <c r="I66" i="155"/>
  <c r="C66" i="155"/>
  <c r="I65" i="155"/>
  <c r="I64" i="155"/>
  <c r="C63" i="155"/>
  <c r="I63" i="155" s="1"/>
  <c r="C62" i="155"/>
  <c r="I62" i="155" s="1"/>
  <c r="E40" i="155"/>
  <c r="E39" i="155"/>
  <c r="E38" i="155"/>
  <c r="E37" i="155"/>
  <c r="E36" i="155"/>
  <c r="E35" i="155"/>
  <c r="E34" i="155"/>
  <c r="E13" i="155"/>
  <c r="E12" i="155"/>
  <c r="E11" i="155"/>
  <c r="E10" i="155"/>
  <c r="E9" i="155"/>
  <c r="E8" i="155"/>
  <c r="E7" i="155"/>
  <c r="W7" i="156" l="1"/>
  <c r="E14" i="1"/>
  <c r="E16" i="1" l="1"/>
  <c r="M4" i="1" l="1"/>
  <c r="M3" i="1"/>
  <c r="E17" i="1" l="1"/>
  <c r="E18" i="1"/>
  <c r="E15" i="1"/>
  <c r="F15" i="1" l="1"/>
  <c r="F16" i="1"/>
  <c r="F17" i="1"/>
  <c r="F18" i="1"/>
  <c r="F14" i="1"/>
  <c r="G44" i="1" l="1"/>
  <c r="G45" i="1"/>
  <c r="G46" i="1"/>
  <c r="G47" i="1"/>
  <c r="G43" i="1"/>
  <c r="N49" i="1"/>
  <c r="F19" i="1"/>
  <c r="F20" i="1"/>
  <c r="E19" i="1"/>
  <c r="E20" i="1"/>
  <c r="A1" i="159"/>
</calcChain>
</file>

<file path=xl/sharedStrings.xml><?xml version="1.0" encoding="utf-8"?>
<sst xmlns="http://schemas.openxmlformats.org/spreadsheetml/2006/main" count="1185" uniqueCount="529">
  <si>
    <t>Weekly Summary Report</t>
  </si>
  <si>
    <t>Safety</t>
  </si>
  <si>
    <t>LTI</t>
  </si>
  <si>
    <t>MTC</t>
  </si>
  <si>
    <t>Remarks</t>
  </si>
  <si>
    <t>PD</t>
  </si>
  <si>
    <t>YTD</t>
  </si>
  <si>
    <t>Shaft</t>
  </si>
  <si>
    <t>Labour</t>
  </si>
  <si>
    <t>Plan</t>
  </si>
  <si>
    <t>Actual</t>
  </si>
  <si>
    <t>Cost</t>
  </si>
  <si>
    <t>Plan YTD</t>
  </si>
  <si>
    <t>Actual YTD</t>
  </si>
  <si>
    <t>No wk</t>
  </si>
  <si>
    <t>Plan MTD</t>
  </si>
  <si>
    <t>Actual MTD</t>
  </si>
  <si>
    <t>Description</t>
  </si>
  <si>
    <t>Done</t>
  </si>
  <si>
    <t>Not Done</t>
  </si>
  <si>
    <t>Mon</t>
  </si>
  <si>
    <t>Wed</t>
  </si>
  <si>
    <t>Fri</t>
  </si>
  <si>
    <t>HD</t>
  </si>
  <si>
    <t>RT</t>
  </si>
  <si>
    <t>DT</t>
  </si>
  <si>
    <t>FL</t>
  </si>
  <si>
    <t>SR</t>
  </si>
  <si>
    <t xml:space="preserve">ROM </t>
  </si>
  <si>
    <t>Product</t>
  </si>
  <si>
    <t>Sun</t>
  </si>
  <si>
    <t>Sat</t>
  </si>
  <si>
    <t xml:space="preserve">Week -       Date                                     to                      </t>
  </si>
  <si>
    <t>Leave</t>
  </si>
  <si>
    <t>Not Specified</t>
  </si>
  <si>
    <t>% AT Work</t>
  </si>
  <si>
    <t>Charge up UV`s</t>
  </si>
  <si>
    <t>RORO/Flat deck UV`s</t>
  </si>
  <si>
    <t>Weekly Primary TMM Maintenance Overview</t>
  </si>
  <si>
    <t>Planned Weekend/Public Holiday Work</t>
  </si>
  <si>
    <t>Variance</t>
  </si>
  <si>
    <t>Asset Care Service Compliance</t>
  </si>
  <si>
    <t>Week:</t>
  </si>
  <si>
    <t>Equip type</t>
  </si>
  <si>
    <t>Monday</t>
  </si>
  <si>
    <t>Tuesday</t>
  </si>
  <si>
    <t>Wednesday</t>
  </si>
  <si>
    <t>Thursday</t>
  </si>
  <si>
    <t>Friday</t>
  </si>
  <si>
    <t>Saturday</t>
  </si>
  <si>
    <t>Sunday</t>
  </si>
  <si>
    <t>Support</t>
  </si>
  <si>
    <t>Outstanding</t>
  </si>
  <si>
    <t>Over Inspections</t>
  </si>
  <si>
    <t xml:space="preserve"> </t>
  </si>
  <si>
    <t>FM Drill:</t>
  </si>
  <si>
    <t>FM Mech:</t>
  </si>
  <si>
    <t>FM Elect:</t>
  </si>
  <si>
    <t>GES:</t>
  </si>
  <si>
    <t>ENG:</t>
  </si>
  <si>
    <t>MO:</t>
  </si>
  <si>
    <t>Compressor's</t>
  </si>
  <si>
    <t>Incidents Reported</t>
  </si>
  <si>
    <t>Nchwaning 2</t>
  </si>
  <si>
    <t>Tue</t>
  </si>
  <si>
    <t>Thur</t>
  </si>
  <si>
    <t>Average</t>
  </si>
  <si>
    <t>Challenges</t>
  </si>
  <si>
    <t>TMM Status SOS (Friday Morning) :</t>
  </si>
  <si>
    <t>Paperwork Incorrect</t>
  </si>
  <si>
    <t>Urgent Oil Samples</t>
  </si>
  <si>
    <t>Workorder Generated</t>
  </si>
  <si>
    <t>07-13 Nov 2025</t>
  </si>
  <si>
    <t>Strata - Support production</t>
  </si>
  <si>
    <t>RT43 Strata</t>
  </si>
  <si>
    <t>COST By ELEMENT</t>
  </si>
  <si>
    <t>MONTH ACTUAL</t>
  </si>
  <si>
    <t>MONTH BUDGET</t>
  </si>
  <si>
    <t>MONTH VAR</t>
  </si>
  <si>
    <t>YTD ACTUAL</t>
  </si>
  <si>
    <t>YTD BUDGET</t>
  </si>
  <si>
    <t xml:space="preserve">YTD VAR </t>
  </si>
  <si>
    <t>Labour Cost</t>
  </si>
  <si>
    <t>Overtime</t>
  </si>
  <si>
    <t>Incentive Provision</t>
  </si>
  <si>
    <t>Stores</t>
  </si>
  <si>
    <t>Major Repairs</t>
  </si>
  <si>
    <t>Contractors</t>
  </si>
  <si>
    <t>Other Cost</t>
  </si>
  <si>
    <t>TOTAL</t>
  </si>
  <si>
    <t>N 2</t>
  </si>
  <si>
    <t>No</t>
  </si>
  <si>
    <t>Area / Owner</t>
  </si>
  <si>
    <t>TMM No.</t>
  </si>
  <si>
    <t>Breakdown</t>
  </si>
  <si>
    <t>Comment</t>
  </si>
  <si>
    <t>OEM Assistance Required</t>
  </si>
  <si>
    <t>Utility Machine</t>
  </si>
  <si>
    <t>Total</t>
  </si>
  <si>
    <t>Availabile</t>
  </si>
  <si>
    <t xml:space="preserve">         RORO UV'S FERMEL</t>
  </si>
  <si>
    <t>Maverick Dble Cab STD Load Bin</t>
  </si>
  <si>
    <t>BRP/Logistics</t>
  </si>
  <si>
    <t>Liberator Roll On Roll Off</t>
  </si>
  <si>
    <t>UV0054</t>
  </si>
  <si>
    <t xml:space="preserve">Available </t>
  </si>
  <si>
    <t>Maverick Man Lift</t>
  </si>
  <si>
    <t>UV0059</t>
  </si>
  <si>
    <t xml:space="preserve">Roadways </t>
  </si>
  <si>
    <t>UV0061</t>
  </si>
  <si>
    <t>Placer dumper</t>
  </si>
  <si>
    <t>UV0118</t>
  </si>
  <si>
    <t xml:space="preserve">Not Available </t>
  </si>
  <si>
    <t>Maverick king Cab c/w Crane</t>
  </si>
  <si>
    <t>Fermel Placer Dumper</t>
  </si>
  <si>
    <t>UV0119</t>
  </si>
  <si>
    <t>Maverick Single cab Jam Pot</t>
  </si>
  <si>
    <t>UV0120</t>
  </si>
  <si>
    <t>Maverick 12 Man Trooper</t>
  </si>
  <si>
    <t>UV0133</t>
  </si>
  <si>
    <t>Scaler</t>
  </si>
  <si>
    <t xml:space="preserve">MAVERICK UV'S </t>
  </si>
  <si>
    <t>Toyota  landcuiser ambulance</t>
  </si>
  <si>
    <t>Williams /drill mec</t>
  </si>
  <si>
    <t xml:space="preserve">Maverick King Cab NO Crane      </t>
  </si>
  <si>
    <t>UV0069</t>
  </si>
  <si>
    <t>Maverick king Cab with no Crane</t>
  </si>
  <si>
    <t>Kal Tire</t>
  </si>
  <si>
    <t>UV0072</t>
  </si>
  <si>
    <t>Available</t>
  </si>
  <si>
    <t>Toyota landcruiser</t>
  </si>
  <si>
    <t xml:space="preserve">Williams </t>
  </si>
  <si>
    <t>UV0087</t>
  </si>
  <si>
    <t>Fitters</t>
  </si>
  <si>
    <t>UV0090</t>
  </si>
  <si>
    <t>Gae</t>
  </si>
  <si>
    <t>UV0092</t>
  </si>
  <si>
    <t>Sanitation</t>
  </si>
  <si>
    <t>UV0102</t>
  </si>
  <si>
    <t xml:space="preserve">MAVERICK LDO'S </t>
  </si>
  <si>
    <t>LD0378</t>
  </si>
  <si>
    <t>Roadways</t>
  </si>
  <si>
    <t>LD0407</t>
  </si>
  <si>
    <t>LD0408</t>
  </si>
  <si>
    <t>Mining/28 section</t>
  </si>
  <si>
    <t>LD0411</t>
  </si>
  <si>
    <t xml:space="preserve">Technicians </t>
  </si>
  <si>
    <t>LD0414</t>
  </si>
  <si>
    <t xml:space="preserve">Labour for the week including Nightshift </t>
  </si>
  <si>
    <t>Themba fire fighters</t>
  </si>
  <si>
    <t>LD0415</t>
  </si>
  <si>
    <t>Foreman</t>
  </si>
  <si>
    <t>Boilermakers</t>
  </si>
  <si>
    <t>LD0419</t>
  </si>
  <si>
    <t>Chargehand</t>
  </si>
  <si>
    <t>LD0426</t>
  </si>
  <si>
    <t>Mechanics</t>
  </si>
  <si>
    <t>LD0448</t>
  </si>
  <si>
    <t>Out of production</t>
  </si>
  <si>
    <t xml:space="preserve">Auto Electrician </t>
  </si>
  <si>
    <t>Explosive</t>
  </si>
  <si>
    <t>LD0450</t>
  </si>
  <si>
    <t>Semi skilled</t>
  </si>
  <si>
    <t>Capital graben</t>
  </si>
  <si>
    <t>LD0508</t>
  </si>
  <si>
    <t>Leaners</t>
  </si>
  <si>
    <t>LD0509</t>
  </si>
  <si>
    <t>Utility</t>
  </si>
  <si>
    <t>LD0513</t>
  </si>
  <si>
    <t>LD0519</t>
  </si>
  <si>
    <t>MAVERICK LDO'S TROPPER</t>
  </si>
  <si>
    <t>DELAY:</t>
  </si>
  <si>
    <t>LD0477</t>
  </si>
  <si>
    <t>LD0523</t>
  </si>
  <si>
    <t xml:space="preserve">Construction </t>
  </si>
  <si>
    <t>LD0532</t>
  </si>
  <si>
    <t>MAVERICK UV'S MANLIFTS</t>
  </si>
  <si>
    <t xml:space="preserve">       PRIORITY FOR THE NEXT SHIFT </t>
  </si>
  <si>
    <t xml:space="preserve">Geologist </t>
  </si>
  <si>
    <t>UV0077</t>
  </si>
  <si>
    <t>Survey</t>
  </si>
  <si>
    <t>UV0098</t>
  </si>
  <si>
    <t xml:space="preserve"> Available</t>
  </si>
  <si>
    <t>UV0099</t>
  </si>
  <si>
    <t>UV0123</t>
  </si>
  <si>
    <t xml:space="preserve">SERVICE UPDATES </t>
  </si>
  <si>
    <t>TOYOTA CRUISER LDO'S</t>
  </si>
  <si>
    <t xml:space="preserve">Ambulance </t>
  </si>
  <si>
    <t xml:space="preserve">Toyota Cruiser 4x4 emergency vehicle </t>
  </si>
  <si>
    <t>LD0 341</t>
  </si>
  <si>
    <t>Toyota Cruiser 4x4/Trimming-Connie</t>
  </si>
  <si>
    <t>LD0 553</t>
  </si>
  <si>
    <t>Lebolo/2west2body</t>
  </si>
  <si>
    <t>Toyota Cruiser 4x4/mining -Lebelo</t>
  </si>
  <si>
    <t>LD0 554</t>
  </si>
  <si>
    <t>Connie Trimming</t>
  </si>
  <si>
    <t>LD0 557</t>
  </si>
  <si>
    <t>Fitters w/shop</t>
  </si>
  <si>
    <t>Toyota Cruiser  4x4/fitter plant-Lebogang</t>
  </si>
  <si>
    <t>LD0 575</t>
  </si>
  <si>
    <t>Electrical w/shop</t>
  </si>
  <si>
    <t>Toyota Cruiser  4x4 /electrician-Hansie</t>
  </si>
  <si>
    <t>LD0 576</t>
  </si>
  <si>
    <t>Connie Mining</t>
  </si>
  <si>
    <t>Toyota Cruiser 4x4/mining-Connie</t>
  </si>
  <si>
    <t>LD0 577</t>
  </si>
  <si>
    <t>Peace</t>
  </si>
  <si>
    <t>Toyota Cruiser 4x4/mining -portgter</t>
  </si>
  <si>
    <t>LD0 578</t>
  </si>
  <si>
    <t>Christo</t>
  </si>
  <si>
    <t>Toyota Cruiser 4x4/mining-christo</t>
  </si>
  <si>
    <t>LD0 579</t>
  </si>
  <si>
    <t>Training Center</t>
  </si>
  <si>
    <t>Toyota Cruiser 4x4/training center</t>
  </si>
  <si>
    <t>LD0 580</t>
  </si>
  <si>
    <t>Potgieter</t>
  </si>
  <si>
    <t>Toyota Cruiser 4x4/Mining 28 section</t>
  </si>
  <si>
    <t>LD0 581</t>
  </si>
  <si>
    <t>Duba Utility</t>
  </si>
  <si>
    <t>aard-uv60-diesel tank</t>
  </si>
  <si>
    <t>UV0053</t>
  </si>
  <si>
    <t>Hansie Louw</t>
  </si>
  <si>
    <t>aard-uv60</t>
  </si>
  <si>
    <t>UV0084</t>
  </si>
  <si>
    <t>aard-uv80-water tank truck</t>
  </si>
  <si>
    <t>UV0121</t>
  </si>
  <si>
    <t>Capital-Graben</t>
  </si>
  <si>
    <t>aard-uv80</t>
  </si>
  <si>
    <t>UV0130</t>
  </si>
  <si>
    <t>UV0139</t>
  </si>
  <si>
    <t>UV0140</t>
  </si>
  <si>
    <t>SCALER'S</t>
  </si>
  <si>
    <t>SR0025</t>
  </si>
  <si>
    <t>scaler</t>
  </si>
  <si>
    <t>SR0027</t>
  </si>
  <si>
    <t>SR0029</t>
  </si>
  <si>
    <t>SR0033</t>
  </si>
  <si>
    <t>scaler graben Capital Tel 5013</t>
  </si>
  <si>
    <t>SR0036</t>
  </si>
  <si>
    <t>scaler 17upper 74 Portigter</t>
  </si>
  <si>
    <t>SR0042</t>
  </si>
  <si>
    <t>SR0045</t>
  </si>
  <si>
    <t>SR0046</t>
  </si>
  <si>
    <t>Scaler Mining</t>
  </si>
  <si>
    <t>SR0053</t>
  </si>
  <si>
    <t>SR0054</t>
  </si>
  <si>
    <t>TOYOTA CRUISER WITH HIAB'S</t>
  </si>
  <si>
    <t>Life Tmm</t>
  </si>
  <si>
    <t>Toyota Cruiser 4x4/Utility Duba</t>
  </si>
  <si>
    <t>LD0 589*</t>
  </si>
  <si>
    <t>Toyota Cruiser 4x4/Kal Tire</t>
  </si>
  <si>
    <t>LD0 590*</t>
  </si>
  <si>
    <t>Didi-Boilermaker</t>
  </si>
  <si>
    <t>LD0 592*</t>
  </si>
  <si>
    <t>Izak Bothman KalTire</t>
  </si>
  <si>
    <t>Toyota Cruiser 4x4/</t>
  </si>
  <si>
    <t>LD0 593*</t>
  </si>
  <si>
    <t>Fitters Lebogang</t>
  </si>
  <si>
    <t>LD0 594</t>
  </si>
  <si>
    <t>LD0 621</t>
  </si>
  <si>
    <t>LD0 633</t>
  </si>
  <si>
    <t>TOYOTA CRUISER TROPPER'S</t>
  </si>
  <si>
    <t>Karl Roadways</t>
  </si>
  <si>
    <t>LD0 596</t>
  </si>
  <si>
    <t>Geologist&amp;Survey</t>
  </si>
  <si>
    <t>LD0 605</t>
  </si>
  <si>
    <t>Mining-Peace</t>
  </si>
  <si>
    <t>LD0 629</t>
  </si>
  <si>
    <t>Mining</t>
  </si>
  <si>
    <t>LD0 649</t>
  </si>
  <si>
    <t>LD0 650</t>
  </si>
  <si>
    <t xml:space="preserve">TOYOTA CRUISER WITHOUT HIAB'S </t>
  </si>
  <si>
    <t>William Tel:5429</t>
  </si>
  <si>
    <t>LD0 591</t>
  </si>
  <si>
    <t>Toyota Cruiser 4x4- single cap</t>
  </si>
  <si>
    <t>LD0 621*</t>
  </si>
  <si>
    <t>Electrician tel:5416</t>
  </si>
  <si>
    <t>LD0 623</t>
  </si>
  <si>
    <t>Toyota Cruiser 4x4/ drill rod carrier</t>
  </si>
  <si>
    <t>Boilers</t>
  </si>
  <si>
    <t>Izak Botham</t>
  </si>
  <si>
    <t>Manyafunyafu</t>
  </si>
  <si>
    <t>CRUISER SINGLE CAP Hiab</t>
  </si>
  <si>
    <t>LD0642</t>
  </si>
  <si>
    <t>LD0647</t>
  </si>
  <si>
    <t>LD0648</t>
  </si>
  <si>
    <t>Strata team</t>
  </si>
  <si>
    <t>LD0658</t>
  </si>
  <si>
    <t>Details</t>
  </si>
  <si>
    <t>FEEDER BELT CHUTE</t>
  </si>
  <si>
    <t>TIPS 1&amp;2</t>
  </si>
  <si>
    <t>Area xyz</t>
  </si>
  <si>
    <t>Supervisor/artisan who assisted with unblocking</t>
  </si>
  <si>
    <t>01/11/2025</t>
  </si>
  <si>
    <t xml:space="preserve"> Reason for blockage</t>
  </si>
  <si>
    <t>Time of blockage</t>
  </si>
  <si>
    <t>02/11/2025</t>
  </si>
  <si>
    <t>Reason for blockage</t>
  </si>
  <si>
    <t>J Benson</t>
  </si>
  <si>
    <t>T.K Mosiane</t>
  </si>
  <si>
    <t>Xaba</t>
  </si>
  <si>
    <t>03/11/2025</t>
  </si>
  <si>
    <t>Big rock wedge</t>
  </si>
  <si>
    <t>No blockages</t>
  </si>
  <si>
    <t>No Blockages</t>
  </si>
  <si>
    <t>13h14-13h24</t>
  </si>
  <si>
    <t>N/A</t>
  </si>
  <si>
    <t>04/11/2025</t>
  </si>
  <si>
    <t>Ti Boshowe</t>
  </si>
  <si>
    <t>05/11/2025</t>
  </si>
  <si>
    <t>06/11/2025</t>
  </si>
  <si>
    <t>07/11/2025</t>
  </si>
  <si>
    <t>08/11/2025</t>
  </si>
  <si>
    <t>09/11/2025</t>
  </si>
  <si>
    <t>10/11/2025</t>
  </si>
  <si>
    <t>11/11/2025</t>
  </si>
  <si>
    <t>12/11/2025</t>
  </si>
  <si>
    <t>13/11/202</t>
  </si>
  <si>
    <t>14/11/202</t>
  </si>
  <si>
    <t>15/11/202</t>
  </si>
  <si>
    <t>16/11/202</t>
  </si>
  <si>
    <t>17/11/202</t>
  </si>
  <si>
    <t>18/11/202</t>
  </si>
  <si>
    <t>19/11/202</t>
  </si>
  <si>
    <t>20/11/202</t>
  </si>
  <si>
    <t>21/11/202</t>
  </si>
  <si>
    <t>22/11/202</t>
  </si>
  <si>
    <t>23/11/202</t>
  </si>
  <si>
    <t>24/11/202</t>
  </si>
  <si>
    <t>25/11/202</t>
  </si>
  <si>
    <t>26/11/202</t>
  </si>
  <si>
    <t>27/11/202</t>
  </si>
  <si>
    <t>28/11/202</t>
  </si>
  <si>
    <t>29/11/202</t>
  </si>
  <si>
    <t>30/11/202</t>
  </si>
  <si>
    <t>31/11/202</t>
  </si>
  <si>
    <t>Weekly Asset Care Compliance Report</t>
  </si>
  <si>
    <t>Don’t change Formula's</t>
  </si>
  <si>
    <t>Week Ending</t>
  </si>
  <si>
    <t>Shaft / Area</t>
  </si>
  <si>
    <t>NCHW II UG</t>
  </si>
  <si>
    <t>Fleet / Equipment</t>
  </si>
  <si>
    <t>Planned</t>
  </si>
  <si>
    <t>Schedule Compliance</t>
  </si>
  <si>
    <t>Target</t>
  </si>
  <si>
    <t>Unit late for service (y/n)</t>
  </si>
  <si>
    <t>Unit book back on time after service(y/n)</t>
  </si>
  <si>
    <t>Week-end Service</t>
  </si>
  <si>
    <t>Reasons for Non-Compliance</t>
  </si>
  <si>
    <t>SR - Service Compliance</t>
  </si>
  <si>
    <t>Support Equipment</t>
  </si>
  <si>
    <t xml:space="preserve">SR - Weekly Inspection </t>
  </si>
  <si>
    <t>Service Pre-Inspection</t>
  </si>
  <si>
    <t>Work order number</t>
  </si>
  <si>
    <t>Condition monitoring / Oil samples</t>
  </si>
  <si>
    <t>Engine - Plan</t>
  </si>
  <si>
    <t>Engine- Received</t>
  </si>
  <si>
    <t>Transmission - Plan</t>
  </si>
  <si>
    <t>Transmission - Receive</t>
  </si>
  <si>
    <t>Axle - plan</t>
  </si>
  <si>
    <t>Axle - Receive</t>
  </si>
  <si>
    <t>% Compliance</t>
  </si>
  <si>
    <t>Paperwork Correct</t>
  </si>
  <si>
    <t>Remember Readings</t>
  </si>
  <si>
    <t>Oil Filtration</t>
  </si>
  <si>
    <t>Equipment nr</t>
  </si>
  <si>
    <t>Oil Type</t>
  </si>
  <si>
    <t>Start Reading</t>
  </si>
  <si>
    <t>End Reading</t>
  </si>
  <si>
    <t>Comments</t>
  </si>
  <si>
    <t>ISO Standard</t>
  </si>
  <si>
    <t>FA0007</t>
  </si>
  <si>
    <t>FA0001</t>
  </si>
  <si>
    <t>Inspection done by:</t>
  </si>
  <si>
    <t>Planned Over-Inspections</t>
  </si>
  <si>
    <t>Total Number of Inspections Completed</t>
  </si>
  <si>
    <t>Corrective Work</t>
  </si>
  <si>
    <t>Wo Number</t>
  </si>
  <si>
    <t>% Completed</t>
  </si>
  <si>
    <t>Remarks for not comply</t>
  </si>
  <si>
    <t>UTILITY FOREMAN</t>
  </si>
  <si>
    <t>MECHANIC FOREMAN</t>
  </si>
  <si>
    <t>DRILLS FOREMAN</t>
  </si>
  <si>
    <t>Engineer</t>
  </si>
  <si>
    <t>Electrical Foreman</t>
  </si>
  <si>
    <t>Plant Foreman</t>
  </si>
  <si>
    <t>GES Plant</t>
  </si>
  <si>
    <t>GES TMM</t>
  </si>
  <si>
    <t>Equipment ID</t>
  </si>
  <si>
    <t>Date of Inspection</t>
  </si>
  <si>
    <t xml:space="preserve">Inspection Performed by </t>
  </si>
  <si>
    <t>Findings and Defects Completed</t>
  </si>
  <si>
    <t>Additional Follow-up Work</t>
  </si>
  <si>
    <t>WO No.</t>
  </si>
  <si>
    <t>Status</t>
  </si>
  <si>
    <t>Lebogang</t>
  </si>
  <si>
    <t>None</t>
  </si>
  <si>
    <t>Shaied</t>
  </si>
  <si>
    <t>Weekly Asset Care Compliance Report Nchwaning II UG</t>
  </si>
  <si>
    <t>NB: PLEASE DO NOT EDIT ON YELLOW COLUMN</t>
  </si>
  <si>
    <t>Nch II U/G</t>
  </si>
  <si>
    <t>Weekly Quality Service Report</t>
  </si>
  <si>
    <t>Engineering</t>
  </si>
  <si>
    <t>Schedule Date</t>
  </si>
  <si>
    <t>TMM Unit Number</t>
  </si>
  <si>
    <t>Actual Time Available In Workshop - &lt; 7:00 AM</t>
  </si>
  <si>
    <t>07:00 AM - 50% 08:00 AM - 25% 09:00 AM - 0%</t>
  </si>
  <si>
    <t>Machine Clean for Maintenance</t>
  </si>
  <si>
    <t>No - 0% Yes - 50%</t>
  </si>
  <si>
    <t>Pre inspection &amp; Operator Engagement - 3 Days Before Service Done</t>
  </si>
  <si>
    <t>No - 0% Yes - 25%</t>
  </si>
  <si>
    <t>Actual Service Duration - Plan 6 Hours</t>
  </si>
  <si>
    <t>6Hrs - 50% 5Hrs - 40% 4Hrs - 30% 3Hrs - 20% 2Hrs - 10% 1Hrs - 0%</t>
  </si>
  <si>
    <t>Machine Tested and Over Inspected by Supervisor</t>
  </si>
  <si>
    <t>Completed Service Workorder number</t>
  </si>
  <si>
    <t>Actual Hrs on service date</t>
  </si>
  <si>
    <t>Yes</t>
  </si>
  <si>
    <t>HD0067</t>
  </si>
  <si>
    <t>CR0187</t>
  </si>
  <si>
    <t>LDO594 bumped against scaler while travelling to pumps at 17S dams</t>
  </si>
  <si>
    <t>Employee slipped and fell while descending steps from Mechanics tea room</t>
  </si>
  <si>
    <t>FL87 steering</t>
  </si>
  <si>
    <t>SR45 tyre</t>
  </si>
  <si>
    <t>UV54 steering</t>
  </si>
  <si>
    <t>UV0102 WILL BE SERVICE TONIGHT ,LD0553 CHASSIC CRACKED ,LD0580 I ASK THEM TO BRING THE MACHINE BUT NEVER REACH</t>
  </si>
  <si>
    <t>DT0157</t>
  </si>
  <si>
    <t xml:space="preserve">Multigrade </t>
  </si>
  <si>
    <t>11 / 05 /0</t>
  </si>
  <si>
    <t>,17/12/08</t>
  </si>
  <si>
    <t xml:space="preserve">DT0169 </t>
  </si>
  <si>
    <t>11 / 6 /0</t>
  </si>
  <si>
    <t>,17/12/09</t>
  </si>
  <si>
    <t xml:space="preserve">DTO17O </t>
  </si>
  <si>
    <t>,10/04/02</t>
  </si>
  <si>
    <t>,17 / 15 / 14</t>
  </si>
  <si>
    <t>RT0038</t>
  </si>
  <si>
    <t>IO</t>
  </si>
  <si>
    <t>HD0046</t>
  </si>
  <si>
    <t>RT0040</t>
  </si>
  <si>
    <t>HD0064</t>
  </si>
  <si>
    <t>13/11/2025</t>
  </si>
  <si>
    <t>N2 U/G Silo system</t>
  </si>
  <si>
    <t>In Order</t>
  </si>
  <si>
    <t>Graben South Jaw crusher</t>
  </si>
  <si>
    <t>Lifting tackle monthly inspection</t>
  </si>
  <si>
    <t>Lever hoist monthly inspection</t>
  </si>
  <si>
    <t>3 lever hoists damaged</t>
  </si>
  <si>
    <t>Send for repairs</t>
  </si>
  <si>
    <t>Fire extinguisher inspection</t>
  </si>
  <si>
    <t>U/G Plant overinspection</t>
  </si>
  <si>
    <t>Mere cleaning to be done at Graben plant</t>
  </si>
  <si>
    <t>Chain block monthly inspection</t>
  </si>
  <si>
    <t>Roy</t>
  </si>
  <si>
    <t>Fuel system contaminated</t>
  </si>
  <si>
    <t>Clean fuel tank, replaced lift pump &amp; engine oil cooler.</t>
  </si>
  <si>
    <t>RT0043</t>
  </si>
  <si>
    <t>ROY</t>
  </si>
  <si>
    <t>LD0576</t>
  </si>
  <si>
    <t>BANGO</t>
  </si>
  <si>
    <t>BRAKE CALLIPER FAULTY</t>
  </si>
  <si>
    <t>RH HAND NEW CALLIPER REPLACED AND LH STILL WAITING PARTS</t>
  </si>
  <si>
    <t>LD0594</t>
  </si>
  <si>
    <t>SHAUN</t>
  </si>
  <si>
    <t xml:space="preserve">VEHICLE HAS SCRATCH </t>
  </si>
  <si>
    <t>ACCIDENT WAS REPORTED ALREADY BEFORE THE SERVICE</t>
  </si>
  <si>
    <t>LD0636</t>
  </si>
  <si>
    <t>REA</t>
  </si>
  <si>
    <t>LD0621</t>
  </si>
  <si>
    <t>ZEE</t>
  </si>
  <si>
    <t>FL0114-250HRS Service</t>
  </si>
  <si>
    <t xml:space="preserve">Wally </t>
  </si>
  <si>
    <t>DT0157-500hrs Service</t>
  </si>
  <si>
    <t>DT00169- 250HRS Service</t>
  </si>
  <si>
    <t>DT0099-1000hrs</t>
  </si>
  <si>
    <t>DT0170-250hrs service</t>
  </si>
  <si>
    <t>6HRS</t>
  </si>
  <si>
    <t>HD0035</t>
  </si>
  <si>
    <t>08h00</t>
  </si>
  <si>
    <t>6hrs</t>
  </si>
  <si>
    <t>LD0553</t>
  </si>
  <si>
    <t>LD0634</t>
  </si>
  <si>
    <t>DT0170</t>
  </si>
  <si>
    <t>DT0169</t>
  </si>
  <si>
    <t>LD0580</t>
  </si>
  <si>
    <t>07h00</t>
  </si>
  <si>
    <t>HD0065</t>
  </si>
  <si>
    <t>TMM type</t>
  </si>
  <si>
    <t>During testing, moisture was detected in the diesel fuel system, the affected fluids will need to be fully drained from tank, and the filters replaced. The diesel was drained and the slugge at the bottom of the tank was cleaned then what is outstanding is to replace the strainer, water trap and the diesel filter.The machine is in order just need to be taken underground to drain the hyrdaulic oil and refill.</t>
  </si>
  <si>
    <t>The wire from wiper motor got disconnected and  made contact with the harness then there was smoke.Fermel is still trying to locate the harness then we will .</t>
  </si>
  <si>
    <t>The speed ring was successfully removed from LD0448, and a seal PR has been created. All parts were replaced there is a challenge in starting busy replacing injectors.</t>
  </si>
  <si>
    <t>PR 25001149</t>
  </si>
  <si>
    <t>1 of 1</t>
  </si>
  <si>
    <t>The engine has siezured therefore going to replace cylinder head parts and the order has been placed and the buyer has send the order to the OEM.</t>
  </si>
  <si>
    <t>9 of 9</t>
  </si>
  <si>
    <t>The machine was initially reported with a noisy differential caused by a faulty CV joint. At that time, no repairs were planned, as Team 448 was scheduled to receive a new bakkie and the current machine was set to be scrapped and has been moved to surface decline parking.
As per senior instruction:
The TRM oil cooler has been removed and was fitted on LD450.
The RH and LH axle brackets have been removed and allocated to complesion on UV87</t>
  </si>
  <si>
    <t>3 of 3</t>
  </si>
  <si>
    <t>Replacement of engine is done,the outstanding work is to fix head light with door sensor.that was not done because the focus is on the Roro passenger carriers by fixing rotation light,fixing the plugs with the door sensors.And also testing the door sensor of the carrier,</t>
  </si>
  <si>
    <t>LD0513 is currently on surface, parked at the decline yard, and ready to be scrapped. However, we are in the process of removing the front axle to be allocated to LD0532.
This diff fron 513 will be used on LD0532 the 1st differential had previously been utilized for Unit 477, and the second differential was recently planned for UV87.</t>
  </si>
  <si>
    <t>an email from GES (The Fermel tech has rebuild the complete rear harness and this section is now fully operational.However, the front harness is also faulty – intermittent and some wires shorting or not making contact.As Fermel does not have this harness right now in stock, the Fermel tech will be back on-site next week to perform onsite repairs to get machine going,This is interim repairs to assist us, until Fermel get the correct harness the first week in October but we are already second week no harness has been availed.)</t>
  </si>
  <si>
    <t>Both brake caliper has seizured and we have replaced one side then waiting for the other side which was incorrect order.</t>
  </si>
  <si>
    <t>UV0042</t>
  </si>
  <si>
    <t>Please note that the machine is currently underground and has been listed for scrapping. We need to arrange its transfer to surface and proceed with the scrapping process ASAP</t>
  </si>
  <si>
    <t>Gear does not move to nuetral because of high pressure therefore they are going to release the pressure and then we check the conduct of transducer.</t>
  </si>
  <si>
    <t>done service</t>
  </si>
  <si>
    <t>Programming for level 9</t>
  </si>
  <si>
    <t>Redrill saddle plate to fit m16 bolts and to replase bushes</t>
  </si>
  <si>
    <t>LD0 630*</t>
  </si>
  <si>
    <t>LD0 631</t>
  </si>
  <si>
    <t>LD0 634*</t>
  </si>
  <si>
    <t>LD0 636*</t>
  </si>
  <si>
    <t>Big flat rock wedge in the middle of chute.</t>
  </si>
  <si>
    <t>13h15-14h01</t>
  </si>
  <si>
    <t>xaba</t>
  </si>
  <si>
    <t>L Smous</t>
  </si>
  <si>
    <t>Big rocks</t>
  </si>
  <si>
    <t>No blockage</t>
  </si>
  <si>
    <t>00:09 - 00:20</t>
  </si>
  <si>
    <t>Plant - Run production and clean mud at 82 dam</t>
  </si>
  <si>
    <t>Boilermakers - replace liners on tip 1 and fix doors at MCC1</t>
  </si>
  <si>
    <t>LDO553 on breakdown; LDO580 was not brought in for service; UV54 planned to be serviced tonight; UV139 rescheduled; LDO634 planned for weekend</t>
  </si>
  <si>
    <t>4hrs</t>
  </si>
  <si>
    <t>Electricians - Install new supply cable at MS41; painting substation floor; Install power supply at MS170 &amp; extend leaky feed at 110 area</t>
  </si>
  <si>
    <t>Drills - Support production and perform housekeeping</t>
  </si>
  <si>
    <t>Mechanics - Support production; Housekeeping; UV66 maintenance; Fix grease systems and oil leaks</t>
  </si>
  <si>
    <t>Utility - Maintenance on LDO408; Fix RORO carriers; closing outstanding job cards</t>
  </si>
  <si>
    <t>Itireleng - maintenance on fire system at Graben</t>
  </si>
  <si>
    <t>6 hrs</t>
  </si>
  <si>
    <t>x</t>
  </si>
  <si>
    <t>Dam cleaning job was cancelled due to shortage of info on method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</si>
</sst>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R&quot;* #,##0.00_-;\-&quot;R&quot;* #,##0.00_-;_-&quot;R&quot;* &quot;-&quot;??_-;_-@_-"/>
    <numFmt numFmtId="43" formatCode="_-* #,##0.00_-;\-* #,##0.00_-;_-* &quot;-&quot;??_-;_-@_-"/>
    <numFmt numFmtId="164" formatCode="0.0%"/>
    <numFmt numFmtId="165" formatCode="[$-F800]dddd\,\ mmmm\ dd\,\ yyyy"/>
    <numFmt numFmtId="166" formatCode="[$-1C09]dd\ mmmm\ yyyy;@"/>
  </numFmts>
  <fonts count="94">
    <font>
      <sz val="11"/>
      <color theme="1"/>
      <name val="Calibri"/>
      <family val="2"/>
      <scheme val="minor"/>
    </font>
    <font>
      <b/>
      <u/>
      <sz val="16"/>
      <color theme="1"/>
      <name val="Calibri"/>
      <family val="2"/>
      <scheme val="minor"/>
    </font>
    <font>
      <b/>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sz val="11"/>
      <name val="Calibri"/>
      <family val="2"/>
      <scheme val="minor"/>
    </font>
    <font>
      <sz val="10"/>
      <name val="Arial"/>
      <family val="2"/>
    </font>
    <font>
      <sz val="11"/>
      <color rgb="FF1F497D"/>
      <name val="Calibri"/>
      <family val="2"/>
      <scheme val="minor"/>
    </font>
    <font>
      <sz val="10"/>
      <name val="Arial"/>
      <family val="2"/>
    </font>
    <font>
      <sz val="16"/>
      <color theme="1"/>
      <name val="Calibri"/>
      <family val="2"/>
      <scheme val="minor"/>
    </font>
    <font>
      <b/>
      <sz val="16"/>
      <color theme="1"/>
      <name val="Calibri"/>
      <family val="2"/>
      <scheme val="minor"/>
    </font>
    <font>
      <b/>
      <sz val="16"/>
      <color rgb="FFFF0000"/>
      <name val="Calibri"/>
      <family val="2"/>
      <scheme val="minor"/>
    </font>
    <font>
      <b/>
      <sz val="16"/>
      <name val="Calibri"/>
      <family val="2"/>
      <scheme val="minor"/>
    </font>
    <font>
      <b/>
      <sz val="16"/>
      <color rgb="FF0070C0"/>
      <name val="Calibri"/>
      <family val="2"/>
      <scheme val="minor"/>
    </font>
    <font>
      <sz val="10"/>
      <color theme="1"/>
      <name val="Calibri"/>
      <family val="2"/>
      <scheme val="minor"/>
    </font>
    <font>
      <sz val="11"/>
      <color theme="1"/>
      <name val="Calibri"/>
      <family val="2"/>
      <scheme val="minor"/>
    </font>
    <font>
      <sz val="14"/>
      <color theme="1"/>
      <name val="Calibri"/>
      <family val="2"/>
      <scheme val="minor"/>
    </font>
    <font>
      <sz val="11"/>
      <color rgb="FFFF0000"/>
      <name val="Calibri"/>
      <family val="2"/>
      <scheme val="minor"/>
    </font>
    <font>
      <sz val="11"/>
      <color theme="1"/>
      <name val="Calibri"/>
      <family val="2"/>
      <scheme val="minor"/>
    </font>
    <font>
      <b/>
      <sz val="11"/>
      <color indexed="63"/>
      <name val="Arial"/>
    </font>
    <font>
      <sz val="11"/>
      <color indexed="63"/>
      <name val="Arial"/>
    </font>
    <font>
      <sz val="11"/>
      <color indexed="57"/>
      <name val="Arial"/>
    </font>
    <font>
      <sz val="11"/>
      <color indexed="53"/>
      <name val="Arial"/>
    </font>
    <font>
      <b/>
      <sz val="11"/>
      <color indexed="8"/>
      <name val="Arial"/>
    </font>
    <font>
      <b/>
      <sz val="11"/>
      <color indexed="17"/>
      <name val="Arial"/>
    </font>
    <font>
      <sz val="11"/>
      <color theme="1"/>
      <name val="Calibri"/>
      <charset val="134"/>
      <scheme val="minor"/>
    </font>
    <font>
      <sz val="11"/>
      <color rgb="FF006100"/>
      <name val="Calibri"/>
      <family val="2"/>
      <scheme val="minor"/>
    </font>
    <font>
      <sz val="11"/>
      <color rgb="FF9C0006"/>
      <name val="Calibri"/>
      <family val="2"/>
      <scheme val="minor"/>
    </font>
    <font>
      <b/>
      <sz val="36"/>
      <color theme="1"/>
      <name val="Calibri"/>
      <family val="2"/>
      <scheme val="minor"/>
    </font>
    <font>
      <b/>
      <sz val="28"/>
      <color theme="1"/>
      <name val="Calibri"/>
      <family val="2"/>
      <scheme val="minor"/>
    </font>
    <font>
      <b/>
      <sz val="14"/>
      <name val="Calibri"/>
      <family val="2"/>
      <scheme val="minor"/>
    </font>
    <font>
      <sz val="8"/>
      <color theme="1"/>
      <name val="Arial"/>
      <family val="2"/>
    </font>
    <font>
      <sz val="9"/>
      <color rgb="FFFF0000"/>
      <name val="Arial"/>
      <family val="2"/>
    </font>
    <font>
      <b/>
      <sz val="11"/>
      <name val="Calibri"/>
      <family val="2"/>
      <scheme val="minor"/>
    </font>
    <font>
      <sz val="8"/>
      <name val="Calibri"/>
      <family val="2"/>
      <scheme val="minor"/>
    </font>
    <font>
      <sz val="8"/>
      <color rgb="FFFF0000"/>
      <name val="Calibri"/>
      <family val="2"/>
      <scheme val="minor"/>
    </font>
    <font>
      <sz val="8"/>
      <color theme="1"/>
      <name val="Calibri"/>
      <family val="2"/>
      <scheme val="minor"/>
    </font>
    <font>
      <b/>
      <sz val="8"/>
      <name val="Calibri"/>
      <family val="2"/>
      <scheme val="minor"/>
    </font>
    <font>
      <sz val="8"/>
      <color rgb="FFFF0000"/>
      <name val="Arial"/>
      <family val="2"/>
    </font>
    <font>
      <sz val="9"/>
      <color indexed="8"/>
      <name val="Arial"/>
      <family val="2"/>
    </font>
    <font>
      <sz val="8"/>
      <name val="Arial"/>
      <family val="2"/>
    </font>
    <font>
      <sz val="9"/>
      <name val="Arial"/>
      <family val="2"/>
    </font>
    <font>
      <b/>
      <sz val="12"/>
      <name val="Arial"/>
      <family val="2"/>
    </font>
    <font>
      <b/>
      <sz val="10"/>
      <name val="Arial"/>
      <family val="2"/>
    </font>
    <font>
      <sz val="8"/>
      <color indexed="8"/>
      <name val="Arial"/>
      <family val="2"/>
    </font>
    <font>
      <b/>
      <sz val="10"/>
      <color theme="1"/>
      <name val="Arial"/>
      <family val="2"/>
    </font>
    <font>
      <sz val="10"/>
      <color theme="1"/>
      <name val="Arial"/>
      <family val="2"/>
    </font>
    <font>
      <b/>
      <sz val="12"/>
      <color theme="1"/>
      <name val="Arial"/>
      <family val="2"/>
    </font>
    <font>
      <sz val="10"/>
      <color rgb="FFFF0000"/>
      <name val="Arial"/>
      <family val="2"/>
    </font>
    <font>
      <b/>
      <sz val="10"/>
      <color rgb="FFFF0000"/>
      <name val="Arial"/>
      <family val="2"/>
    </font>
    <font>
      <b/>
      <u/>
      <sz val="10"/>
      <color rgb="FFFF0000"/>
      <name val="Arial"/>
      <family val="2"/>
    </font>
    <font>
      <sz val="11"/>
      <color theme="1"/>
      <name val="Times New Roman"/>
      <family val="1"/>
    </font>
    <font>
      <b/>
      <sz val="16"/>
      <color rgb="FFFF0000"/>
      <name val="Arial"/>
      <family val="2"/>
    </font>
    <font>
      <b/>
      <u/>
      <sz val="16"/>
      <color rgb="FFFF0000"/>
      <name val="Arial"/>
      <family val="2"/>
    </font>
    <font>
      <b/>
      <sz val="8"/>
      <color theme="1"/>
      <name val="Calibri"/>
      <family val="2"/>
      <scheme val="minor"/>
    </font>
    <font>
      <sz val="9"/>
      <color theme="1"/>
      <name val="Arial"/>
      <family val="2"/>
    </font>
    <font>
      <sz val="12"/>
      <color theme="1"/>
      <name val="Times New Roman"/>
      <family val="1"/>
    </font>
    <font>
      <b/>
      <sz val="8"/>
      <name val="Arial"/>
      <family val="2"/>
    </font>
    <font>
      <b/>
      <u/>
      <sz val="26"/>
      <color theme="1"/>
      <name val="Calibri"/>
      <family val="2"/>
      <scheme val="minor"/>
    </font>
    <font>
      <b/>
      <u/>
      <sz val="24"/>
      <color theme="1"/>
      <name val="Calibri"/>
      <family val="2"/>
      <scheme val="minor"/>
    </font>
    <font>
      <b/>
      <u/>
      <sz val="22"/>
      <color theme="1"/>
      <name val="Calibri"/>
      <family val="2"/>
      <scheme val="minor"/>
    </font>
    <font>
      <b/>
      <u/>
      <sz val="18"/>
      <color theme="1"/>
      <name val="Calibri"/>
      <family val="2"/>
      <scheme val="minor"/>
    </font>
    <font>
      <b/>
      <u/>
      <sz val="11"/>
      <color theme="1"/>
      <name val="Calibri"/>
      <family val="2"/>
      <scheme val="minor"/>
    </font>
    <font>
      <b/>
      <u/>
      <sz val="18"/>
      <color rgb="FFFF0000"/>
      <name val="Calibri"/>
      <family val="2"/>
      <scheme val="minor"/>
    </font>
    <font>
      <sz val="10"/>
      <color rgb="FF000000"/>
      <name val="Calibri"/>
      <family val="2"/>
    </font>
    <font>
      <sz val="11"/>
      <color rgb="FF000000"/>
      <name val="Calibri"/>
      <family val="2"/>
    </font>
    <font>
      <u/>
      <sz val="11"/>
      <color theme="10"/>
      <name val="Calibri"/>
      <family val="2"/>
      <scheme val="minor"/>
    </font>
    <font>
      <sz val="10"/>
      <color theme="1"/>
      <name val="Century Gothic"/>
      <family val="2"/>
    </font>
    <font>
      <b/>
      <sz val="10"/>
      <name val="Calibri"/>
      <family val="2"/>
    </font>
    <font>
      <b/>
      <sz val="11"/>
      <color rgb="FF000000"/>
      <name val="Calibri"/>
      <family val="2"/>
    </font>
    <font>
      <sz val="10"/>
      <name val="Calibri"/>
      <family val="2"/>
    </font>
    <font>
      <sz val="10"/>
      <color rgb="FF000000"/>
      <name val="Calibri"/>
      <family val="2"/>
      <scheme val="minor"/>
    </font>
    <font>
      <sz val="10"/>
      <color theme="1"/>
      <name val="Calibri"/>
      <family val="2"/>
    </font>
    <font>
      <sz val="10"/>
      <color rgb="FF000000"/>
      <name val="Arial"/>
      <family val="2"/>
    </font>
    <font>
      <sz val="12"/>
      <name val="Calibri"/>
      <family val="2"/>
    </font>
    <font>
      <sz val="12"/>
      <name val="Calibri"/>
      <family val="2"/>
      <scheme val="minor"/>
    </font>
    <font>
      <sz val="9"/>
      <color theme="1"/>
      <name val="Calibri"/>
      <family val="2"/>
      <scheme val="minor"/>
    </font>
    <font>
      <sz val="9"/>
      <color rgb="FF000000"/>
      <name val="Calibri"/>
      <family val="2"/>
      <scheme val="minor"/>
    </font>
    <font>
      <sz val="11"/>
      <color rgb="FF000000"/>
      <name val="Arial"/>
      <family val="2"/>
    </font>
    <font>
      <sz val="14"/>
      <color rgb="FF000000"/>
      <name val="Calibri"/>
      <family val="2"/>
    </font>
    <font>
      <sz val="12"/>
      <color theme="1"/>
      <name val="Calibri"/>
      <family val="2"/>
    </font>
    <font>
      <b/>
      <sz val="12"/>
      <color rgb="FFFF0000"/>
      <name val="Calibri"/>
      <family val="2"/>
    </font>
    <font>
      <b/>
      <u/>
      <sz val="36"/>
      <color theme="1"/>
      <name val="Calibri"/>
      <family val="2"/>
      <scheme val="minor"/>
    </font>
    <font>
      <b/>
      <sz val="18"/>
      <color theme="1"/>
      <name val="Calibri"/>
      <family val="2"/>
      <scheme val="minor"/>
    </font>
    <font>
      <b/>
      <sz val="12"/>
      <color theme="1"/>
      <name val="Calibri"/>
      <family val="2"/>
    </font>
    <font>
      <b/>
      <sz val="12"/>
      <color rgb="FFFF0000"/>
      <name val="Calibri"/>
      <family val="2"/>
      <scheme val="minor"/>
    </font>
    <font>
      <sz val="12"/>
      <color rgb="FF000000"/>
      <name val="Calibri"/>
      <family val="2"/>
      <scheme val="minor"/>
    </font>
    <font>
      <b/>
      <sz val="12"/>
      <name val="Calibri"/>
      <family val="2"/>
      <scheme val="minor"/>
    </font>
    <font>
      <sz val="9"/>
      <color rgb="FFFF0000"/>
      <name val="Calibri"/>
      <family val="2"/>
      <scheme val="minor"/>
    </font>
    <font>
      <sz val="10"/>
      <color rgb="FFFF0000"/>
      <name val="Calibri"/>
      <family val="2"/>
      <scheme val="minor"/>
    </font>
    <font>
      <sz val="10"/>
      <name val="Calibri"/>
      <family val="2"/>
      <scheme val="minor"/>
    </font>
    <font>
      <sz val="10"/>
      <color rgb="FFFF0000"/>
      <name val="Aptos"/>
    </font>
  </fonts>
  <fills count="43">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indexed="9"/>
        <bgColor indexed="64"/>
      </patternFill>
    </fill>
    <fill>
      <patternFill patternType="solid">
        <fgColor theme="0"/>
        <bgColor indexed="64"/>
      </patternFill>
    </fill>
    <fill>
      <patternFill patternType="solid">
        <fgColor indexed="41"/>
        <bgColor indexed="64"/>
      </patternFill>
    </fill>
    <fill>
      <patternFill patternType="solid">
        <fgColor indexed="26"/>
        <bgColor indexed="64"/>
      </patternFill>
    </fill>
    <fill>
      <patternFill patternType="solid">
        <fgColor indexed="43"/>
        <bgColor indexed="64"/>
      </patternFill>
    </fill>
    <fill>
      <patternFill patternType="solid">
        <fgColor indexed="45"/>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C6EFCE"/>
      </patternFill>
    </fill>
    <fill>
      <patternFill patternType="solid">
        <fgColor rgb="FFFFC7CE"/>
      </patternFill>
    </fill>
    <fill>
      <patternFill patternType="solid">
        <fgColor rgb="FF00B050"/>
        <bgColor indexed="64"/>
      </patternFill>
    </fill>
    <fill>
      <patternFill patternType="solid">
        <fgColor rgb="FF00B0F0"/>
        <bgColor indexed="64"/>
      </patternFill>
    </fill>
    <fill>
      <patternFill patternType="solid">
        <fgColor theme="5" tint="0.39997558519241921"/>
        <bgColor indexed="64"/>
      </patternFill>
    </fill>
    <fill>
      <patternFill patternType="solid">
        <fgColor rgb="FFC00000"/>
        <bgColor indexed="64"/>
      </patternFill>
    </fill>
    <fill>
      <patternFill patternType="solid">
        <fgColor theme="9"/>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theme="4"/>
        <bgColor indexed="64"/>
      </patternFill>
    </fill>
    <fill>
      <patternFill patternType="solid">
        <fgColor theme="6"/>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2"/>
        <bgColor indexed="64"/>
      </patternFill>
    </fill>
    <fill>
      <patternFill patternType="solid">
        <fgColor theme="7" tint="-0.249977111117893"/>
        <bgColor indexed="64"/>
      </patternFill>
    </fill>
    <fill>
      <patternFill patternType="solid">
        <fgColor theme="1"/>
        <bgColor indexed="64"/>
      </patternFill>
    </fill>
    <fill>
      <patternFill patternType="solid">
        <fgColor theme="0" tint="-0.14996795556505021"/>
        <bgColor indexed="64"/>
      </patternFill>
    </fill>
    <fill>
      <patternFill patternType="solid">
        <fgColor theme="0" tint="-0.249977111117893"/>
        <bgColor indexed="64"/>
      </patternFill>
    </fill>
    <fill>
      <patternFill patternType="solid">
        <fgColor rgb="FFFF99FF"/>
        <bgColor indexed="64"/>
      </patternFill>
    </fill>
    <fill>
      <patternFill patternType="solid">
        <fgColor rgb="FFFFFFFF"/>
        <bgColor indexed="64"/>
      </patternFill>
    </fill>
    <fill>
      <patternFill patternType="solid">
        <fgColor theme="8" tint="0.79998168889431442"/>
        <bgColor indexed="64"/>
      </patternFill>
    </fill>
    <fill>
      <patternFill patternType="solid">
        <fgColor rgb="FFD9E1F2"/>
        <bgColor indexed="64"/>
      </patternFill>
    </fill>
  </fills>
  <borders count="17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medium">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rgb="FF505050"/>
      </top>
      <bottom style="medium">
        <color rgb="FF50505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style="medium">
        <color indexed="64"/>
      </top>
      <bottom style="thin">
        <color auto="1"/>
      </bottom>
      <diagonal/>
    </border>
    <border>
      <left style="thin">
        <color rgb="FF505050"/>
      </left>
      <right/>
      <top style="medium">
        <color indexed="64"/>
      </top>
      <bottom style="thin">
        <color rgb="FF505050"/>
      </bottom>
      <diagonal/>
    </border>
    <border>
      <left/>
      <right/>
      <top style="thin">
        <color rgb="FF505050"/>
      </top>
      <bottom style="thin">
        <color rgb="FF505050"/>
      </bottom>
      <diagonal/>
    </border>
    <border>
      <left/>
      <right/>
      <top style="thin">
        <color indexed="64"/>
      </top>
      <bottom style="medium">
        <color indexed="64"/>
      </bottom>
      <diagonal/>
    </border>
    <border>
      <left style="thin">
        <color auto="1"/>
      </left>
      <right/>
      <top style="thin">
        <color auto="1"/>
      </top>
      <bottom style="medium">
        <color indexed="64"/>
      </bottom>
      <diagonal/>
    </border>
    <border>
      <left style="thin">
        <color rgb="FF505050"/>
      </left>
      <right style="thin">
        <color rgb="FF505050"/>
      </right>
      <top/>
      <bottom style="thin">
        <color rgb="FF505050"/>
      </bottom>
      <diagonal/>
    </border>
    <border>
      <left/>
      <right style="medium">
        <color indexed="64"/>
      </right>
      <top/>
      <bottom style="medium">
        <color indexed="64"/>
      </bottom>
      <diagonal/>
    </border>
    <border>
      <left style="thin">
        <color auto="1"/>
      </left>
      <right/>
      <top style="thin">
        <color auto="1"/>
      </top>
      <bottom style="thin">
        <color rgb="FF505050"/>
      </bottom>
      <diagonal/>
    </border>
    <border>
      <left/>
      <right style="medium">
        <color rgb="FF505050"/>
      </right>
      <top style="thin">
        <color auto="1"/>
      </top>
      <bottom style="thin">
        <color rgb="FF505050"/>
      </bottom>
      <diagonal/>
    </border>
    <border>
      <left style="thin">
        <color rgb="FF505050"/>
      </left>
      <right/>
      <top style="thin">
        <color rgb="FF505050"/>
      </top>
      <bottom/>
      <diagonal/>
    </border>
    <border>
      <left/>
      <right style="medium">
        <color rgb="FF505050"/>
      </right>
      <top style="thin">
        <color rgb="FF505050"/>
      </top>
      <bottom/>
      <diagonal/>
    </border>
    <border>
      <left style="medium">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thin">
        <color rgb="FF505050"/>
      </left>
      <right style="thin">
        <color rgb="FF505050"/>
      </right>
      <top/>
      <bottom/>
      <diagonal/>
    </border>
    <border>
      <left/>
      <right style="thin">
        <color rgb="FF505050"/>
      </right>
      <top style="thin">
        <color rgb="FF505050"/>
      </top>
      <bottom style="thin">
        <color rgb="FF505050"/>
      </bottom>
      <diagonal/>
    </border>
    <border>
      <left/>
      <right style="thin">
        <color rgb="FF505050"/>
      </right>
      <top style="thin">
        <color rgb="FF505050"/>
      </top>
      <bottom/>
      <diagonal/>
    </border>
    <border>
      <left/>
      <right style="thin">
        <color rgb="FF505050"/>
      </right>
      <top/>
      <bottom style="thin">
        <color rgb="FF505050"/>
      </bottom>
      <diagonal/>
    </border>
    <border>
      <left style="medium">
        <color rgb="FF505050"/>
      </left>
      <right style="medium">
        <color rgb="FF505050"/>
      </right>
      <top style="medium">
        <color rgb="FF505050"/>
      </top>
      <bottom style="medium">
        <color rgb="FF505050"/>
      </bottom>
      <diagonal/>
    </border>
    <border>
      <left/>
      <right style="thin">
        <color indexed="64"/>
      </right>
      <top style="medium">
        <color indexed="64"/>
      </top>
      <bottom style="medium">
        <color indexed="64"/>
      </bottom>
      <diagonal/>
    </border>
    <border>
      <left style="medium">
        <color rgb="FF505050"/>
      </left>
      <right/>
      <top/>
      <bottom style="medium">
        <color rgb="FF505050"/>
      </bottom>
      <diagonal/>
    </border>
    <border>
      <left/>
      <right style="thin">
        <color rgb="FF505050"/>
      </right>
      <top/>
      <bottom/>
      <diagonal/>
    </border>
    <border>
      <left style="thin">
        <color indexed="64"/>
      </left>
      <right/>
      <top/>
      <bottom/>
      <diagonal/>
    </border>
    <border>
      <left style="thin">
        <color indexed="64"/>
      </left>
      <right style="thin">
        <color indexed="64"/>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right style="medium">
        <color auto="1"/>
      </right>
      <top style="medium">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right/>
      <top style="thin">
        <color auto="1"/>
      </top>
      <bottom/>
      <diagonal/>
    </border>
    <border>
      <left style="medium">
        <color auto="1"/>
      </left>
      <right style="medium">
        <color auto="1"/>
      </right>
      <top/>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style="medium">
        <color auto="1"/>
      </right>
      <top style="medium">
        <color auto="1"/>
      </top>
      <bottom/>
      <diagonal/>
    </border>
    <border>
      <left/>
      <right style="thin">
        <color rgb="FF000000"/>
      </right>
      <top/>
      <bottom style="thin">
        <color rgb="FF000000"/>
      </bottom>
      <diagonal/>
    </border>
    <border>
      <left/>
      <right style="thin">
        <color auto="1"/>
      </right>
      <top/>
      <bottom style="thin">
        <color auto="1"/>
      </bottom>
      <diagonal/>
    </border>
    <border>
      <left style="double">
        <color auto="1"/>
      </left>
      <right/>
      <top style="double">
        <color auto="1"/>
      </top>
      <bottom style="double">
        <color auto="1"/>
      </bottom>
      <diagonal/>
    </border>
    <border>
      <left/>
      <right/>
      <top style="double">
        <color auto="1"/>
      </top>
      <bottom style="double">
        <color auto="1"/>
      </bottom>
      <diagonal/>
    </border>
    <border>
      <left style="medium">
        <color indexed="64"/>
      </left>
      <right/>
      <top style="medium">
        <color indexed="64"/>
      </top>
      <bottom style="thick">
        <color indexed="64"/>
      </bottom>
      <diagonal/>
    </border>
    <border>
      <left/>
      <right/>
      <top style="medium">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style="thick">
        <color indexed="64"/>
      </left>
      <right style="medium">
        <color indexed="64"/>
      </right>
      <top style="thick">
        <color indexed="64"/>
      </top>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style="thick">
        <color indexed="64"/>
      </left>
      <right/>
      <top/>
      <bottom style="thick">
        <color indexed="64"/>
      </bottom>
      <diagonal/>
    </border>
    <border>
      <left/>
      <right style="thick">
        <color indexed="64"/>
      </right>
      <top/>
      <bottom style="thick">
        <color indexed="64"/>
      </bottom>
      <diagonal/>
    </border>
    <border>
      <left/>
      <right/>
      <top/>
      <bottom style="thick">
        <color indexed="64"/>
      </bottom>
      <diagonal/>
    </border>
    <border>
      <left style="medium">
        <color indexed="64"/>
      </left>
      <right style="medium">
        <color indexed="64"/>
      </right>
      <top style="medium">
        <color indexed="64"/>
      </top>
      <bottom style="medium">
        <color indexed="64"/>
      </bottom>
      <diagonal/>
    </border>
    <border>
      <left style="thick">
        <color indexed="64"/>
      </left>
      <right style="medium">
        <color indexed="64"/>
      </right>
      <top/>
      <bottom style="thick">
        <color indexed="64"/>
      </bottom>
      <diagonal/>
    </border>
    <border>
      <left style="medium">
        <color indexed="64"/>
      </left>
      <right/>
      <top style="dashDotDot">
        <color auto="1"/>
      </top>
      <bottom style="dashDotDot">
        <color auto="1"/>
      </bottom>
      <diagonal/>
    </border>
    <border>
      <left/>
      <right/>
      <top style="dashDotDot">
        <color auto="1"/>
      </top>
      <bottom style="dashDotDot">
        <color auto="1"/>
      </bottom>
      <diagonal/>
    </border>
    <border>
      <left/>
      <right style="thick">
        <color auto="1"/>
      </right>
      <top style="dashDotDot">
        <color auto="1"/>
      </top>
      <bottom style="dashDotDot">
        <color auto="1"/>
      </bottom>
      <diagonal/>
    </border>
    <border>
      <left style="thick">
        <color auto="1"/>
      </left>
      <right/>
      <top style="dashDotDot">
        <color auto="1"/>
      </top>
      <bottom style="dashDotDot">
        <color auto="1"/>
      </bottom>
      <diagonal/>
    </border>
    <border>
      <left style="thick">
        <color auto="1"/>
      </left>
      <right style="thick">
        <color auto="1"/>
      </right>
      <top style="dashDotDot">
        <color auto="1"/>
      </top>
      <bottom style="dashDotDot">
        <color auto="1"/>
      </bottom>
      <diagonal/>
    </border>
    <border>
      <left style="thick">
        <color auto="1"/>
      </left>
      <right style="thick">
        <color auto="1"/>
      </right>
      <top/>
      <bottom style="dashDotDot">
        <color auto="1"/>
      </bottom>
      <diagonal/>
    </border>
    <border>
      <left style="thick">
        <color indexed="64"/>
      </left>
      <right style="medium">
        <color indexed="64"/>
      </right>
      <top style="dashDotDot">
        <color auto="1"/>
      </top>
      <bottom style="dashDotDot">
        <color auto="1"/>
      </bottom>
      <diagonal/>
    </border>
    <border>
      <left style="medium">
        <color indexed="64"/>
      </left>
      <right/>
      <top style="medium">
        <color indexed="64"/>
      </top>
      <bottom style="dashDot">
        <color indexed="64"/>
      </bottom>
      <diagonal/>
    </border>
    <border>
      <left style="medium">
        <color indexed="64"/>
      </left>
      <right/>
      <top style="dashDot">
        <color indexed="64"/>
      </top>
      <bottom style="dashDot">
        <color indexed="64"/>
      </bottom>
      <diagonal/>
    </border>
    <border>
      <left style="medium">
        <color indexed="64"/>
      </left>
      <right/>
      <top style="thin">
        <color rgb="FF000000"/>
      </top>
      <bottom style="thin">
        <color rgb="FF000000"/>
      </bottom>
      <diagonal/>
    </border>
    <border>
      <left style="medium">
        <color indexed="64"/>
      </left>
      <right style="thick">
        <color auto="1"/>
      </right>
      <top style="dashDotDot">
        <color auto="1"/>
      </top>
      <bottom style="dashDotDot">
        <color auto="1"/>
      </bottom>
      <diagonal/>
    </border>
    <border>
      <left style="thick">
        <color auto="1"/>
      </left>
      <right/>
      <top style="dashDotDot">
        <color auto="1"/>
      </top>
      <bottom/>
      <diagonal/>
    </border>
    <border>
      <left/>
      <right style="thick">
        <color auto="1"/>
      </right>
      <top style="dashDotDot">
        <color auto="1"/>
      </top>
      <bottom/>
      <diagonal/>
    </border>
    <border>
      <left style="thin">
        <color indexed="42"/>
      </left>
      <right style="thin">
        <color indexed="42"/>
      </right>
      <top style="thin">
        <color indexed="42"/>
      </top>
      <bottom style="thin">
        <color indexed="42"/>
      </bottom>
      <diagonal/>
    </border>
    <border>
      <left/>
      <right/>
      <top style="thin">
        <color indexed="42"/>
      </top>
      <bottom style="thin">
        <color indexed="42"/>
      </bottom>
      <diagonal/>
    </border>
    <border>
      <left style="medium">
        <color auto="1"/>
      </left>
      <right style="medium">
        <color auto="1"/>
      </right>
      <top style="thin">
        <color auto="1"/>
      </top>
      <bottom style="thin">
        <color auto="1"/>
      </bottom>
      <diagonal/>
    </border>
    <border>
      <left style="medium">
        <color auto="1"/>
      </left>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right style="thin">
        <color indexed="64"/>
      </right>
      <top/>
      <bottom style="thin">
        <color indexed="64"/>
      </bottom>
      <diagonal/>
    </border>
    <border>
      <left style="thin">
        <color indexed="8"/>
      </left>
      <right/>
      <top/>
      <bottom style="thin">
        <color indexed="8"/>
      </bottom>
      <diagonal/>
    </border>
    <border>
      <left style="thin">
        <color indexed="8"/>
      </left>
      <right/>
      <top style="thin">
        <color indexed="8"/>
      </top>
      <bottom style="thin">
        <color indexed="8"/>
      </bottom>
      <diagonal/>
    </border>
    <border>
      <left style="thin">
        <color indexed="64"/>
      </left>
      <right/>
      <top/>
      <bottom style="thin">
        <color indexed="64"/>
      </bottom>
      <diagonal/>
    </border>
    <border>
      <left/>
      <right style="medium">
        <color rgb="FF505050"/>
      </right>
      <top/>
      <bottom style="thin">
        <color indexed="64"/>
      </bottom>
      <diagonal/>
    </border>
    <border>
      <left/>
      <right style="medium">
        <color rgb="FF505050"/>
      </right>
      <top style="thin">
        <color indexed="64"/>
      </top>
      <bottom style="thin">
        <color indexed="64"/>
      </bottom>
      <diagonal/>
    </border>
    <border>
      <left style="thin">
        <color auto="1"/>
      </left>
      <right/>
      <top style="thin">
        <color auto="1"/>
      </top>
      <bottom/>
      <diagonal/>
    </border>
    <border>
      <left/>
      <right/>
      <top style="thin">
        <color indexed="8"/>
      </top>
      <bottom style="thin">
        <color indexed="8"/>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thin">
        <color indexed="8"/>
      </left>
      <right/>
      <top/>
      <bottom/>
      <diagonal/>
    </border>
    <border>
      <left style="thin">
        <color indexed="8"/>
      </left>
      <right/>
      <top style="thin">
        <color indexed="8"/>
      </top>
      <bottom/>
      <diagonal/>
    </border>
    <border>
      <left style="medium">
        <color indexed="64"/>
      </left>
      <right/>
      <top style="thin">
        <color indexed="8"/>
      </top>
      <bottom style="medium">
        <color indexed="64"/>
      </bottom>
      <diagonal/>
    </border>
    <border>
      <left/>
      <right/>
      <top style="thin">
        <color indexed="8"/>
      </top>
      <bottom style="medium">
        <color indexed="64"/>
      </bottom>
      <diagonal/>
    </border>
    <border>
      <left/>
      <right style="medium">
        <color indexed="64"/>
      </right>
      <top style="thin">
        <color indexed="8"/>
      </top>
      <bottom style="medium">
        <color indexed="64"/>
      </bottom>
      <diagonal/>
    </border>
    <border>
      <left style="thin">
        <color indexed="64"/>
      </left>
      <right style="thin">
        <color indexed="64"/>
      </right>
      <top style="thin">
        <color indexed="64"/>
      </top>
      <bottom style="thin">
        <color indexed="8"/>
      </bottom>
      <diagonal/>
    </border>
    <border>
      <left style="thin">
        <color indexed="8"/>
      </left>
      <right style="thin">
        <color indexed="8"/>
      </right>
      <top style="thin">
        <color indexed="8"/>
      </top>
      <bottom/>
      <diagonal/>
    </border>
  </borders>
  <cellStyleXfs count="28">
    <xf numFmtId="0" fontId="0" fillId="0" borderId="0"/>
    <xf numFmtId="43" fontId="4" fillId="0" borderId="0" applyFont="0" applyFill="0" applyBorder="0" applyAlignment="0" applyProtection="0"/>
    <xf numFmtId="0" fontId="6" fillId="0" borderId="0"/>
    <xf numFmtId="9" fontId="4" fillId="0" borderId="0" applyFont="0" applyFill="0" applyBorder="0" applyAlignment="0" applyProtection="0"/>
    <xf numFmtId="0" fontId="8" fillId="0" borderId="0"/>
    <xf numFmtId="0" fontId="10" fillId="0" borderId="0"/>
    <xf numFmtId="0" fontId="17" fillId="0" borderId="0"/>
    <xf numFmtId="9" fontId="17"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20" fillId="0" borderId="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27" fillId="0" borderId="0"/>
    <xf numFmtId="44" fontId="4" fillId="0" borderId="0" applyFont="0" applyFill="0" applyBorder="0" applyAlignment="0" applyProtection="0"/>
    <xf numFmtId="44" fontId="4" fillId="0" borderId="0" applyFont="0" applyFill="0" applyBorder="0" applyAlignment="0" applyProtection="0"/>
    <xf numFmtId="0" fontId="28" fillId="14" borderId="0" applyNumberFormat="0" applyBorder="0" applyAlignment="0" applyProtection="0"/>
    <xf numFmtId="0" fontId="29" fillId="15" borderId="0" applyNumberFormat="0" applyBorder="0" applyAlignment="0" applyProtection="0"/>
    <xf numFmtId="0" fontId="68" fillId="0" borderId="0" applyNumberFormat="0" applyFill="0" applyBorder="0" applyAlignment="0" applyProtection="0"/>
  </cellStyleXfs>
  <cellXfs count="820">
    <xf numFmtId="0" fontId="0" fillId="0" borderId="0" xfId="0"/>
    <xf numFmtId="0" fontId="1" fillId="0" borderId="0" xfId="0" applyFont="1"/>
    <xf numFmtId="0" fontId="5" fillId="3" borderId="1" xfId="0" applyFont="1" applyFill="1" applyBorder="1"/>
    <xf numFmtId="0" fontId="2" fillId="0" borderId="1" xfId="0" applyFont="1" applyBorder="1"/>
    <xf numFmtId="0" fontId="5" fillId="3" borderId="3" xfId="0" applyFont="1" applyFill="1" applyBorder="1"/>
    <xf numFmtId="0" fontId="5" fillId="3" borderId="2" xfId="0" applyFont="1" applyFill="1" applyBorder="1" applyAlignment="1">
      <alignment horizontal="center"/>
    </xf>
    <xf numFmtId="0" fontId="5" fillId="3" borderId="1" xfId="0" applyFont="1" applyFill="1" applyBorder="1" applyAlignment="1">
      <alignment horizontal="center"/>
    </xf>
    <xf numFmtId="0" fontId="5" fillId="3" borderId="0" xfId="0" applyFont="1" applyFill="1" applyAlignment="1">
      <alignment horizontal="center"/>
    </xf>
    <xf numFmtId="0" fontId="5" fillId="0" borderId="0" xfId="0" applyFont="1"/>
    <xf numFmtId="0" fontId="2" fillId="3" borderId="3" xfId="0" applyFont="1" applyFill="1" applyBorder="1" applyAlignment="1">
      <alignment horizontal="center"/>
    </xf>
    <xf numFmtId="0" fontId="5" fillId="3" borderId="1" xfId="0" applyFont="1" applyFill="1" applyBorder="1" applyAlignment="1">
      <alignment horizontal="left"/>
    </xf>
    <xf numFmtId="164" fontId="0" fillId="0" borderId="1" xfId="0" applyNumberFormat="1" applyBorder="1"/>
    <xf numFmtId="0" fontId="5" fillId="3" borderId="3" xfId="0" applyFont="1" applyFill="1" applyBorder="1" applyAlignment="1">
      <alignment horizontal="left"/>
    </xf>
    <xf numFmtId="0" fontId="0" fillId="0" borderId="1" xfId="0" applyBorder="1" applyAlignment="1">
      <alignment wrapText="1"/>
    </xf>
    <xf numFmtId="0" fontId="0" fillId="0" borderId="1" xfId="0" applyBorder="1" applyAlignment="1">
      <alignment horizontal="center" vertical="center"/>
    </xf>
    <xf numFmtId="0" fontId="0" fillId="0" borderId="14" xfId="0" applyBorder="1" applyAlignment="1">
      <alignment horizontal="center" vertical="center"/>
    </xf>
    <xf numFmtId="15" fontId="5" fillId="0" borderId="0" xfId="0" applyNumberFormat="1" applyFont="1"/>
    <xf numFmtId="3" fontId="0" fillId="0" borderId="0" xfId="0" applyNumberFormat="1"/>
    <xf numFmtId="3" fontId="0" fillId="0" borderId="17" xfId="0" applyNumberFormat="1" applyBorder="1" applyAlignment="1">
      <alignment horizontal="right"/>
    </xf>
    <xf numFmtId="0" fontId="0" fillId="5" borderId="0" xfId="0" applyFill="1"/>
    <xf numFmtId="0" fontId="0" fillId="0" borderId="18" xfId="0" applyBorder="1" applyAlignment="1">
      <alignment horizontal="center"/>
    </xf>
    <xf numFmtId="0" fontId="0" fillId="0" borderId="19" xfId="0" applyBorder="1" applyAlignment="1">
      <alignment horizontal="center"/>
    </xf>
    <xf numFmtId="0" fontId="7" fillId="0" borderId="1" xfId="0" applyFont="1" applyBorder="1" applyAlignment="1">
      <alignment wrapText="1"/>
    </xf>
    <xf numFmtId="0" fontId="0" fillId="0" borderId="0" xfId="0" applyAlignment="1">
      <alignment wrapText="1"/>
    </xf>
    <xf numFmtId="0" fontId="9" fillId="0" borderId="0" xfId="0" applyFont="1" applyAlignment="1">
      <alignment vertical="center" wrapText="1"/>
    </xf>
    <xf numFmtId="0" fontId="0" fillId="0" borderId="15" xfId="0" applyBorder="1" applyAlignment="1">
      <alignment horizontal="center"/>
    </xf>
    <xf numFmtId="0" fontId="5" fillId="3" borderId="14" xfId="0" applyFont="1" applyFill="1" applyBorder="1"/>
    <xf numFmtId="164" fontId="0" fillId="0" borderId="14" xfId="0" applyNumberFormat="1" applyBorder="1"/>
    <xf numFmtId="0" fontId="5" fillId="2" borderId="1" xfId="0" applyFont="1" applyFill="1" applyBorder="1"/>
    <xf numFmtId="0" fontId="0" fillId="5" borderId="1" xfId="0" applyFill="1" applyBorder="1" applyAlignment="1">
      <alignment horizontal="center"/>
    </xf>
    <xf numFmtId="0" fontId="0" fillId="0" borderId="14" xfId="0" applyBorder="1"/>
    <xf numFmtId="0" fontId="3" fillId="0" borderId="0" xfId="0" applyFont="1"/>
    <xf numFmtId="0" fontId="11" fillId="0" borderId="0" xfId="0" applyFont="1"/>
    <xf numFmtId="0" fontId="12" fillId="0" borderId="0" xfId="0" applyFont="1" applyAlignment="1">
      <alignment horizontal="right"/>
    </xf>
    <xf numFmtId="16" fontId="11" fillId="0" borderId="0" xfId="0" applyNumberFormat="1" applyFont="1"/>
    <xf numFmtId="0" fontId="11" fillId="2" borderId="11" xfId="0" applyFont="1" applyFill="1" applyBorder="1" applyAlignment="1">
      <alignment horizontal="center" wrapText="1"/>
    </xf>
    <xf numFmtId="0" fontId="11" fillId="2" borderId="10" xfId="0" applyFont="1" applyFill="1" applyBorder="1" applyAlignment="1">
      <alignment horizontal="center"/>
    </xf>
    <xf numFmtId="0" fontId="12" fillId="0" borderId="22" xfId="0" applyFont="1" applyBorder="1"/>
    <xf numFmtId="0" fontId="12" fillId="5" borderId="14" xfId="0" applyFont="1" applyFill="1" applyBorder="1" applyAlignment="1">
      <alignment horizontal="left" vertical="center"/>
    </xf>
    <xf numFmtId="0" fontId="12" fillId="0" borderId="21" xfId="0" applyFont="1" applyBorder="1"/>
    <xf numFmtId="0" fontId="11" fillId="0" borderId="28" xfId="0" applyFont="1" applyBorder="1"/>
    <xf numFmtId="0" fontId="12" fillId="0" borderId="25" xfId="0" applyFont="1" applyBorder="1" applyAlignment="1">
      <alignment horizontal="left"/>
    </xf>
    <xf numFmtId="0" fontId="12" fillId="0" borderId="29" xfId="0" applyFont="1" applyBorder="1"/>
    <xf numFmtId="0" fontId="11" fillId="0" borderId="21" xfId="0" applyFont="1" applyBorder="1"/>
    <xf numFmtId="0" fontId="11" fillId="0" borderId="0" xfId="0" applyFont="1" applyAlignment="1">
      <alignment horizontal="center" vertical="center"/>
    </xf>
    <xf numFmtId="0" fontId="13" fillId="0" borderId="16" xfId="0" applyFont="1" applyBorder="1" applyAlignment="1">
      <alignment horizontal="left"/>
    </xf>
    <xf numFmtId="0" fontId="13" fillId="0" borderId="22" xfId="0" applyFont="1" applyBorder="1"/>
    <xf numFmtId="0" fontId="13" fillId="0" borderId="14" xfId="0" applyFont="1" applyBorder="1" applyAlignment="1">
      <alignment horizontal="left" vertical="center"/>
    </xf>
    <xf numFmtId="0" fontId="12" fillId="0" borderId="21" xfId="0" applyFont="1" applyBorder="1" applyAlignment="1">
      <alignment horizontal="left" vertical="center"/>
    </xf>
    <xf numFmtId="0" fontId="15" fillId="0" borderId="0" xfId="0" applyFont="1" applyAlignment="1">
      <alignment horizontal="left"/>
    </xf>
    <xf numFmtId="0" fontId="12" fillId="0" borderId="0" xfId="0" applyFont="1" applyAlignment="1">
      <alignment horizontal="left"/>
    </xf>
    <xf numFmtId="0" fontId="12" fillId="0" borderId="0" xfId="0" applyFont="1"/>
    <xf numFmtId="0" fontId="16" fillId="0" borderId="0" xfId="0" applyFont="1"/>
    <xf numFmtId="0" fontId="12" fillId="5" borderId="22" xfId="0" applyFont="1" applyFill="1" applyBorder="1"/>
    <xf numFmtId="0" fontId="12" fillId="0" borderId="21" xfId="0" applyFont="1" applyBorder="1" applyAlignment="1">
      <alignment horizontal="center" vertical="center"/>
    </xf>
    <xf numFmtId="0" fontId="12" fillId="0" borderId="14" xfId="0" applyFont="1" applyBorder="1" applyAlignment="1">
      <alignment horizontal="center" vertical="center"/>
    </xf>
    <xf numFmtId="0" fontId="12" fillId="0" borderId="16" xfId="0" applyFont="1" applyBorder="1" applyAlignment="1">
      <alignment horizontal="center"/>
    </xf>
    <xf numFmtId="0" fontId="12" fillId="0" borderId="22" xfId="0" applyFont="1" applyBorder="1" applyAlignment="1">
      <alignment horizontal="center"/>
    </xf>
    <xf numFmtId="0" fontId="13" fillId="0" borderId="22" xfId="0" applyFont="1" applyBorder="1" applyAlignment="1">
      <alignment horizontal="center"/>
    </xf>
    <xf numFmtId="0" fontId="13" fillId="0" borderId="14" xfId="0" applyFont="1" applyBorder="1" applyAlignment="1">
      <alignment horizontal="center" vertical="center"/>
    </xf>
    <xf numFmtId="0" fontId="13" fillId="0" borderId="16" xfId="0" applyFont="1" applyBorder="1" applyAlignment="1">
      <alignment horizontal="center"/>
    </xf>
    <xf numFmtId="0" fontId="0" fillId="0" borderId="1" xfId="0" applyBorder="1" applyAlignment="1">
      <alignment horizontal="center"/>
    </xf>
    <xf numFmtId="0" fontId="5" fillId="3" borderId="9" xfId="0" applyFont="1" applyFill="1" applyBorder="1" applyAlignment="1">
      <alignment horizontal="center"/>
    </xf>
    <xf numFmtId="0" fontId="5" fillId="3" borderId="14" xfId="0" applyFont="1" applyFill="1" applyBorder="1" applyAlignment="1">
      <alignment horizontal="center"/>
    </xf>
    <xf numFmtId="0" fontId="0" fillId="5" borderId="1" xfId="0" applyFill="1" applyBorder="1" applyAlignment="1">
      <alignment horizontal="center" vertical="center"/>
    </xf>
    <xf numFmtId="0" fontId="0" fillId="0" borderId="15" xfId="0" applyBorder="1" applyAlignment="1"/>
    <xf numFmtId="0" fontId="14" fillId="0" borderId="22" xfId="0" applyFont="1" applyBorder="1"/>
    <xf numFmtId="0" fontId="5" fillId="3" borderId="0" xfId="0" applyFont="1" applyFill="1" applyBorder="1"/>
    <xf numFmtId="0" fontId="0" fillId="0" borderId="32" xfId="0" applyBorder="1" applyAlignment="1">
      <alignment horizontal="center" vertical="center"/>
    </xf>
    <xf numFmtId="0" fontId="0" fillId="0" borderId="33" xfId="0" applyBorder="1" applyAlignment="1">
      <alignment horizontal="center" vertical="center"/>
    </xf>
    <xf numFmtId="0" fontId="0" fillId="0" borderId="30" xfId="0" applyBorder="1" applyAlignment="1">
      <alignment horizontal="center" vertical="center"/>
    </xf>
    <xf numFmtId="0" fontId="0" fillId="0" borderId="0" xfId="0"/>
    <xf numFmtId="0" fontId="12" fillId="11" borderId="21" xfId="0" applyFont="1" applyFill="1" applyBorder="1" applyAlignment="1">
      <alignment vertical="center"/>
    </xf>
    <xf numFmtId="0" fontId="12" fillId="11" borderId="14" xfId="0" applyFont="1" applyFill="1" applyBorder="1" applyAlignment="1">
      <alignment horizontal="left" vertical="center"/>
    </xf>
    <xf numFmtId="0" fontId="12" fillId="11" borderId="22" xfId="0" applyFont="1" applyFill="1" applyBorder="1"/>
    <xf numFmtId="0" fontId="12" fillId="11" borderId="25" xfId="0" applyFont="1" applyFill="1" applyBorder="1" applyAlignment="1">
      <alignment horizontal="left"/>
    </xf>
    <xf numFmtId="0" fontId="14" fillId="11" borderId="22" xfId="0" applyFont="1" applyFill="1" applyBorder="1"/>
    <xf numFmtId="0" fontId="12" fillId="11" borderId="16" xfId="0" applyFont="1" applyFill="1" applyBorder="1" applyAlignment="1">
      <alignment horizontal="left"/>
    </xf>
    <xf numFmtId="0" fontId="13" fillId="11" borderId="14" xfId="0" applyFont="1" applyFill="1" applyBorder="1" applyAlignment="1">
      <alignment horizontal="left" vertical="center"/>
    </xf>
    <xf numFmtId="0" fontId="13" fillId="11" borderId="16" xfId="0" applyFont="1" applyFill="1" applyBorder="1" applyAlignment="1">
      <alignment horizontal="left"/>
    </xf>
    <xf numFmtId="0" fontId="12" fillId="11" borderId="21" xfId="0" applyFont="1" applyFill="1" applyBorder="1" applyAlignment="1">
      <alignment horizontal="left"/>
    </xf>
    <xf numFmtId="0" fontId="0" fillId="0" borderId="34" xfId="0" applyBorder="1" applyAlignment="1">
      <alignment horizontal="center" vertical="center"/>
    </xf>
    <xf numFmtId="164" fontId="0" fillId="0" borderId="4" xfId="0" applyNumberFormat="1" applyBorder="1" applyAlignment="1">
      <alignment horizontal="center"/>
    </xf>
    <xf numFmtId="37" fontId="5" fillId="10" borderId="31" xfId="0" applyNumberFormat="1" applyFont="1" applyFill="1" applyBorder="1" applyAlignment="1">
      <alignment horizontal="center"/>
    </xf>
    <xf numFmtId="0" fontId="12" fillId="5" borderId="22" xfId="0" applyFont="1" applyFill="1" applyBorder="1" applyAlignment="1">
      <alignment horizontal="center"/>
    </xf>
    <xf numFmtId="0" fontId="12" fillId="5" borderId="14" xfId="0" applyFont="1" applyFill="1" applyBorder="1" applyAlignment="1">
      <alignment horizontal="center" vertical="center"/>
    </xf>
    <xf numFmtId="0" fontId="12" fillId="11" borderId="35" xfId="0" applyFont="1" applyFill="1" applyBorder="1"/>
    <xf numFmtId="0" fontId="12" fillId="11" borderId="36" xfId="0" applyFont="1" applyFill="1" applyBorder="1" applyAlignment="1">
      <alignment horizontal="left"/>
    </xf>
    <xf numFmtId="0" fontId="12" fillId="5" borderId="0" xfId="0" applyFont="1" applyFill="1" applyAlignment="1">
      <alignment horizontal="center"/>
    </xf>
    <xf numFmtId="0" fontId="0" fillId="5" borderId="37" xfId="0" applyFill="1" applyBorder="1" applyAlignment="1">
      <alignment horizontal="center"/>
    </xf>
    <xf numFmtId="0" fontId="0" fillId="0" borderId="0" xfId="0"/>
    <xf numFmtId="0" fontId="12" fillId="0" borderId="21" xfId="0" applyFont="1" applyFill="1" applyBorder="1" applyAlignment="1">
      <alignment vertical="center"/>
    </xf>
    <xf numFmtId="0" fontId="12" fillId="0" borderId="14" xfId="0" applyFont="1" applyFill="1" applyBorder="1" applyAlignment="1">
      <alignment horizontal="left" vertical="center"/>
    </xf>
    <xf numFmtId="0" fontId="12" fillId="0" borderId="22" xfId="0" applyFont="1" applyFill="1" applyBorder="1"/>
    <xf numFmtId="0" fontId="12" fillId="0" borderId="25" xfId="0" applyFont="1" applyFill="1" applyBorder="1" applyAlignment="1">
      <alignment horizontal="left"/>
    </xf>
    <xf numFmtId="0" fontId="12" fillId="0" borderId="16" xfId="0" applyFont="1" applyFill="1" applyBorder="1" applyAlignment="1">
      <alignment horizontal="left"/>
    </xf>
    <xf numFmtId="0" fontId="12" fillId="0" borderId="35" xfId="0" applyFont="1" applyFill="1" applyBorder="1"/>
    <xf numFmtId="0" fontId="12" fillId="0" borderId="36" xfId="0" applyFont="1" applyFill="1" applyBorder="1" applyAlignment="1">
      <alignment horizontal="left"/>
    </xf>
    <xf numFmtId="0" fontId="13" fillId="0" borderId="14" xfId="0" applyFont="1" applyFill="1" applyBorder="1" applyAlignment="1">
      <alignment horizontal="left" vertical="center"/>
    </xf>
    <xf numFmtId="0" fontId="13" fillId="0" borderId="16" xfId="0" applyFont="1" applyFill="1" applyBorder="1" applyAlignment="1">
      <alignment horizontal="left"/>
    </xf>
    <xf numFmtId="0" fontId="12" fillId="0" borderId="21" xfId="0" applyFont="1" applyFill="1" applyBorder="1" applyAlignment="1">
      <alignment horizontal="left"/>
    </xf>
    <xf numFmtId="0" fontId="0" fillId="12" borderId="0" xfId="0" applyFill="1"/>
    <xf numFmtId="0" fontId="0" fillId="0" borderId="42" xfId="0" applyBorder="1"/>
    <xf numFmtId="0" fontId="0" fillId="0" borderId="39" xfId="0" applyBorder="1" applyAlignment="1">
      <alignment horizontal="center" vertical="center"/>
    </xf>
    <xf numFmtId="0" fontId="0" fillId="0" borderId="40" xfId="0" applyBorder="1" applyAlignment="1">
      <alignment horizontal="left" vertical="center" wrapText="1"/>
    </xf>
    <xf numFmtId="0" fontId="0" fillId="0" borderId="38" xfId="0" applyBorder="1" applyAlignment="1">
      <alignment horizontal="left" vertical="center" wrapText="1"/>
    </xf>
    <xf numFmtId="0" fontId="0" fillId="0" borderId="41" xfId="0" applyBorder="1" applyAlignment="1">
      <alignment horizontal="left" vertical="center" wrapText="1"/>
    </xf>
    <xf numFmtId="0" fontId="0" fillId="0" borderId="0" xfId="0" applyBorder="1"/>
    <xf numFmtId="3" fontId="19" fillId="0" borderId="14" xfId="0" applyNumberFormat="1" applyFont="1" applyFill="1" applyBorder="1"/>
    <xf numFmtId="0" fontId="0" fillId="0" borderId="0" xfId="0"/>
    <xf numFmtId="0" fontId="5" fillId="0" borderId="0" xfId="0" applyFont="1"/>
    <xf numFmtId="0" fontId="0" fillId="0" borderId="1" xfId="0" applyBorder="1" applyAlignment="1">
      <alignment vertical="top" wrapText="1"/>
    </xf>
    <xf numFmtId="0" fontId="0" fillId="0" borderId="0" xfId="0" applyAlignment="1">
      <alignment horizontal="center" vertical="center" wrapText="1"/>
    </xf>
    <xf numFmtId="0" fontId="18" fillId="0" borderId="0" xfId="0" applyFont="1"/>
    <xf numFmtId="164" fontId="0" fillId="0" borderId="0" xfId="0" applyNumberFormat="1" applyFill="1" applyBorder="1" applyAlignment="1">
      <alignment horizontal="center"/>
    </xf>
    <xf numFmtId="0" fontId="0" fillId="0" borderId="43" xfId="0" applyBorder="1"/>
    <xf numFmtId="0" fontId="0" fillId="0" borderId="40" xfId="0" applyBorder="1" applyAlignment="1">
      <alignment horizontal="center" vertical="center"/>
    </xf>
    <xf numFmtId="0" fontId="0" fillId="0" borderId="45" xfId="0" applyBorder="1" applyAlignment="1">
      <alignment horizontal="center" vertical="center"/>
    </xf>
    <xf numFmtId="0" fontId="0" fillId="0" borderId="47" xfId="0" applyBorder="1" applyAlignment="1">
      <alignment horizontal="center" vertical="center"/>
    </xf>
    <xf numFmtId="0" fontId="0" fillId="0" borderId="38" xfId="0" applyBorder="1" applyAlignment="1">
      <alignment horizontal="center" vertical="center"/>
    </xf>
    <xf numFmtId="0" fontId="0" fillId="0" borderId="43" xfId="0" applyBorder="1" applyAlignment="1">
      <alignment horizontal="center" vertical="center"/>
    </xf>
    <xf numFmtId="0" fontId="5" fillId="3" borderId="18" xfId="0" applyFont="1" applyFill="1" applyBorder="1" applyAlignment="1"/>
    <xf numFmtId="0" fontId="5" fillId="3" borderId="19" xfId="0" applyFont="1" applyFill="1" applyBorder="1" applyAlignment="1"/>
    <xf numFmtId="0" fontId="0" fillId="0" borderId="4" xfId="0" applyBorder="1" applyAlignment="1">
      <alignment vertical="center"/>
    </xf>
    <xf numFmtId="0" fontId="0" fillId="0" borderId="5" xfId="0" applyBorder="1" applyAlignment="1">
      <alignment vertical="center"/>
    </xf>
    <xf numFmtId="0" fontId="0" fillId="0" borderId="2" xfId="0" applyBorder="1" applyAlignment="1">
      <alignment vertical="center"/>
    </xf>
    <xf numFmtId="0" fontId="0" fillId="0" borderId="4" xfId="0" applyBorder="1" applyAlignment="1">
      <alignment vertical="center" wrapText="1"/>
    </xf>
    <xf numFmtId="0" fontId="0" fillId="0" borderId="5" xfId="0" applyBorder="1" applyAlignment="1">
      <alignment vertical="center" wrapText="1"/>
    </xf>
    <xf numFmtId="0" fontId="0" fillId="0" borderId="2" xfId="0" applyBorder="1" applyAlignment="1">
      <alignment vertical="center" wrapText="1"/>
    </xf>
    <xf numFmtId="0" fontId="0" fillId="0" borderId="27" xfId="0" applyFont="1" applyBorder="1"/>
    <xf numFmtId="0" fontId="0" fillId="0" borderId="0" xfId="0" applyFont="1"/>
    <xf numFmtId="15" fontId="31" fillId="0" borderId="0" xfId="0" applyNumberFormat="1" applyFont="1" applyAlignment="1">
      <alignment horizontal="center" vertical="top"/>
    </xf>
    <xf numFmtId="0" fontId="5" fillId="0" borderId="0" xfId="0" applyFont="1" applyAlignment="1">
      <alignment horizontal="center" vertical="top"/>
    </xf>
    <xf numFmtId="0" fontId="0" fillId="0" borderId="0" xfId="0" applyFont="1" applyAlignment="1">
      <alignment wrapText="1"/>
    </xf>
    <xf numFmtId="0" fontId="0" fillId="17" borderId="44" xfId="0" applyFont="1" applyFill="1" applyBorder="1"/>
    <xf numFmtId="0" fontId="5" fillId="17" borderId="44" xfId="0" applyFont="1" applyFill="1" applyBorder="1" applyAlignment="1">
      <alignment horizontal="center" wrapText="1"/>
    </xf>
    <xf numFmtId="0" fontId="5" fillId="0" borderId="20" xfId="0" applyFont="1" applyBorder="1" applyAlignment="1">
      <alignment horizontal="center" vertical="center"/>
    </xf>
    <xf numFmtId="0" fontId="5" fillId="0" borderId="22" xfId="0" applyFont="1" applyBorder="1" applyAlignment="1">
      <alignment horizontal="center"/>
    </xf>
    <xf numFmtId="0" fontId="5" fillId="0" borderId="49" xfId="0" applyFont="1" applyBorder="1" applyAlignment="1">
      <alignment horizontal="center"/>
    </xf>
    <xf numFmtId="0" fontId="0" fillId="0" borderId="38" xfId="0" applyFont="1" applyBorder="1"/>
    <xf numFmtId="0" fontId="35" fillId="19" borderId="13" xfId="0" applyFont="1" applyFill="1" applyBorder="1" applyAlignment="1">
      <alignment horizontal="left"/>
    </xf>
    <xf numFmtId="0" fontId="7" fillId="19" borderId="44" xfId="0" applyFont="1" applyFill="1" applyBorder="1" applyAlignment="1">
      <alignment horizontal="center"/>
    </xf>
    <xf numFmtId="9" fontId="7" fillId="19" borderId="52" xfId="3" applyFont="1" applyFill="1" applyBorder="1" applyAlignment="1">
      <alignment horizontal="center"/>
    </xf>
    <xf numFmtId="0" fontId="0" fillId="5" borderId="40" xfId="0" applyFont="1" applyFill="1" applyBorder="1"/>
    <xf numFmtId="0" fontId="38" fillId="0" borderId="44" xfId="0" applyFont="1" applyBorder="1"/>
    <xf numFmtId="49" fontId="5" fillId="12" borderId="13" xfId="0" applyNumberFormat="1" applyFont="1" applyFill="1" applyBorder="1"/>
    <xf numFmtId="0" fontId="0" fillId="12" borderId="44" xfId="0" applyFont="1" applyFill="1" applyBorder="1" applyAlignment="1">
      <alignment horizontal="center"/>
    </xf>
    <xf numFmtId="9" fontId="4" fillId="12" borderId="52" xfId="3" applyFont="1" applyFill="1" applyBorder="1" applyAlignment="1">
      <alignment horizontal="center"/>
    </xf>
    <xf numFmtId="0" fontId="36" fillId="0" borderId="44" xfId="0" applyFont="1" applyBorder="1" applyAlignment="1">
      <alignment horizontal="left" wrapText="1"/>
    </xf>
    <xf numFmtId="0" fontId="38" fillId="11" borderId="44" xfId="0" applyFont="1" applyFill="1" applyBorder="1"/>
    <xf numFmtId="49" fontId="38" fillId="5" borderId="44" xfId="0" applyNumberFormat="1" applyFont="1" applyFill="1" applyBorder="1" applyAlignment="1">
      <alignment horizontal="left"/>
    </xf>
    <xf numFmtId="0" fontId="35" fillId="12" borderId="13" xfId="0" quotePrefix="1" applyFont="1" applyFill="1" applyBorder="1" applyAlignment="1">
      <alignment horizontal="left"/>
    </xf>
    <xf numFmtId="0" fontId="0" fillId="0" borderId="40" xfId="0" applyFont="1" applyBorder="1"/>
    <xf numFmtId="0" fontId="36" fillId="11" borderId="44" xfId="0" quotePrefix="1" applyFont="1" applyFill="1" applyBorder="1" applyAlignment="1">
      <alignment horizontal="left"/>
    </xf>
    <xf numFmtId="49" fontId="38" fillId="0" borderId="44" xfId="0" applyNumberFormat="1" applyFont="1" applyBorder="1" applyAlignment="1">
      <alignment horizontal="left"/>
    </xf>
    <xf numFmtId="0" fontId="5" fillId="21" borderId="13" xfId="0" applyFont="1" applyFill="1" applyBorder="1"/>
    <xf numFmtId="0" fontId="0" fillId="21" borderId="44" xfId="0" applyFont="1" applyFill="1" applyBorder="1" applyAlignment="1">
      <alignment horizontal="center"/>
    </xf>
    <xf numFmtId="9" fontId="4" fillId="21" borderId="52" xfId="3" applyFont="1" applyFill="1" applyBorder="1" applyAlignment="1">
      <alignment horizontal="center"/>
    </xf>
    <xf numFmtId="0" fontId="37" fillId="11" borderId="44" xfId="0" applyFont="1" applyFill="1" applyBorder="1" applyAlignment="1">
      <alignment vertical="top"/>
    </xf>
    <xf numFmtId="49" fontId="5" fillId="22" borderId="13" xfId="0" applyNumberFormat="1" applyFont="1" applyFill="1" applyBorder="1"/>
    <xf numFmtId="0" fontId="0" fillId="22" borderId="44" xfId="0" applyFont="1" applyFill="1" applyBorder="1" applyAlignment="1">
      <alignment horizontal="center"/>
    </xf>
    <xf numFmtId="9" fontId="4" fillId="22" borderId="52" xfId="3" applyFont="1" applyFill="1" applyBorder="1" applyAlignment="1">
      <alignment horizontal="center"/>
    </xf>
    <xf numFmtId="49" fontId="38" fillId="23" borderId="44" xfId="0" applyNumberFormat="1" applyFont="1" applyFill="1" applyBorder="1"/>
    <xf numFmtId="0" fontId="37" fillId="20" borderId="44" xfId="0" applyFont="1" applyFill="1" applyBorder="1" applyAlignment="1">
      <alignment horizontal="left" vertical="center" wrapText="1"/>
    </xf>
    <xf numFmtId="49" fontId="5" fillId="24" borderId="13" xfId="0" applyNumberFormat="1" applyFont="1" applyFill="1" applyBorder="1"/>
    <xf numFmtId="0" fontId="0" fillId="24" borderId="44" xfId="0" applyFont="1" applyFill="1" applyBorder="1" applyAlignment="1">
      <alignment horizontal="center"/>
    </xf>
    <xf numFmtId="9" fontId="4" fillId="24" borderId="52" xfId="3" applyFont="1" applyFill="1" applyBorder="1" applyAlignment="1">
      <alignment horizontal="center"/>
    </xf>
    <xf numFmtId="0" fontId="38" fillId="0" borderId="44" xfId="0" applyFont="1" applyBorder="1" applyAlignment="1">
      <alignment horizontal="left" vertical="center" wrapText="1"/>
    </xf>
    <xf numFmtId="0" fontId="38" fillId="11" borderId="44" xfId="0" applyFont="1" applyFill="1" applyBorder="1" applyAlignment="1">
      <alignment wrapText="1"/>
    </xf>
    <xf numFmtId="0" fontId="38" fillId="0" borderId="44" xfId="0" applyFont="1" applyBorder="1" applyAlignment="1">
      <alignment horizontal="left"/>
    </xf>
    <xf numFmtId="0" fontId="35" fillId="25" borderId="13" xfId="0" applyFont="1" applyFill="1" applyBorder="1" applyAlignment="1">
      <alignment horizontal="left"/>
    </xf>
    <xf numFmtId="0" fontId="0" fillId="25" borderId="44" xfId="0" applyFont="1" applyFill="1" applyBorder="1" applyAlignment="1">
      <alignment horizontal="center"/>
    </xf>
    <xf numFmtId="9" fontId="4" fillId="25" borderId="52" xfId="3" applyFont="1" applyFill="1" applyBorder="1" applyAlignment="1">
      <alignment horizontal="center"/>
    </xf>
    <xf numFmtId="0" fontId="0" fillId="0" borderId="44" xfId="0" applyFont="1" applyBorder="1"/>
    <xf numFmtId="0" fontId="35" fillId="20" borderId="13" xfId="0" applyFont="1" applyFill="1" applyBorder="1" applyAlignment="1">
      <alignment horizontal="left"/>
    </xf>
    <xf numFmtId="0" fontId="0" fillId="26" borderId="44" xfId="0" applyFont="1" applyFill="1" applyBorder="1" applyAlignment="1">
      <alignment horizontal="center"/>
    </xf>
    <xf numFmtId="49" fontId="38" fillId="26" borderId="44" xfId="0" applyNumberFormat="1" applyFont="1" applyFill="1" applyBorder="1"/>
    <xf numFmtId="49" fontId="38" fillId="22" borderId="44" xfId="0" applyNumberFormat="1" applyFont="1" applyFill="1" applyBorder="1"/>
    <xf numFmtId="0" fontId="0" fillId="2" borderId="16" xfId="0" applyFont="1" applyFill="1" applyBorder="1" applyAlignment="1">
      <alignment horizontal="center"/>
    </xf>
    <xf numFmtId="0" fontId="0" fillId="0" borderId="16" xfId="0" applyFont="1" applyBorder="1" applyAlignment="1">
      <alignment horizontal="center"/>
    </xf>
    <xf numFmtId="9" fontId="4" fillId="0" borderId="53" xfId="3" applyFont="1" applyBorder="1" applyAlignment="1">
      <alignment horizontal="center"/>
    </xf>
    <xf numFmtId="0" fontId="0" fillId="0" borderId="38" xfId="0" applyFont="1" applyBorder="1" applyAlignment="1">
      <alignment vertical="top"/>
    </xf>
    <xf numFmtId="0" fontId="37" fillId="20" borderId="25" xfId="0" applyFont="1" applyFill="1" applyBorder="1" applyAlignment="1">
      <alignment horizontal="left" vertical="top" wrapText="1"/>
    </xf>
    <xf numFmtId="0" fontId="0" fillId="0" borderId="43" xfId="0" applyFont="1" applyBorder="1"/>
    <xf numFmtId="0" fontId="0" fillId="2" borderId="54" xfId="0" applyFont="1" applyFill="1" applyBorder="1"/>
    <xf numFmtId="0" fontId="36" fillId="0" borderId="25" xfId="0" applyFont="1" applyBorder="1" applyAlignment="1">
      <alignment horizontal="left" vertical="top"/>
    </xf>
    <xf numFmtId="49" fontId="38" fillId="24" borderId="25" xfId="0" applyNumberFormat="1" applyFont="1" applyFill="1" applyBorder="1"/>
    <xf numFmtId="49" fontId="38" fillId="27" borderId="25" xfId="0" applyNumberFormat="1" applyFont="1" applyFill="1" applyBorder="1" applyAlignment="1">
      <alignment horizontal="left"/>
    </xf>
    <xf numFmtId="0" fontId="0" fillId="0" borderId="55" xfId="0" applyFont="1" applyBorder="1"/>
    <xf numFmtId="0" fontId="0" fillId="0" borderId="56" xfId="0" applyFont="1" applyBorder="1"/>
    <xf numFmtId="0" fontId="0" fillId="0" borderId="16" xfId="0" applyFont="1" applyBorder="1"/>
    <xf numFmtId="0" fontId="0" fillId="0" borderId="53" xfId="0" applyFont="1" applyBorder="1"/>
    <xf numFmtId="0" fontId="36" fillId="5" borderId="44" xfId="0" applyFont="1" applyFill="1" applyBorder="1" applyAlignment="1">
      <alignment horizontal="left"/>
    </xf>
    <xf numFmtId="0" fontId="36" fillId="28" borderId="44" xfId="0" applyFont="1" applyFill="1" applyBorder="1" applyAlignment="1">
      <alignment horizontal="left"/>
    </xf>
    <xf numFmtId="49" fontId="38" fillId="0" borderId="44" xfId="0" applyNumberFormat="1" applyFont="1" applyBorder="1"/>
    <xf numFmtId="0" fontId="36" fillId="5" borderId="44" xfId="0" applyFont="1" applyFill="1" applyBorder="1" applyAlignment="1">
      <alignment horizontal="left" wrapText="1"/>
    </xf>
    <xf numFmtId="0" fontId="36" fillId="28" borderId="44" xfId="0" applyFont="1" applyFill="1" applyBorder="1" applyAlignment="1">
      <alignment horizontal="left" wrapText="1"/>
    </xf>
    <xf numFmtId="0" fontId="0" fillId="0" borderId="44" xfId="0" applyFont="1" applyBorder="1" applyAlignment="1">
      <alignment wrapText="1"/>
    </xf>
    <xf numFmtId="0" fontId="36" fillId="0" borderId="44" xfId="0" quotePrefix="1" applyFont="1" applyBorder="1" applyAlignment="1">
      <alignment horizontal="left"/>
    </xf>
    <xf numFmtId="49" fontId="38" fillId="5" borderId="44" xfId="0" applyNumberFormat="1" applyFont="1" applyFill="1" applyBorder="1"/>
    <xf numFmtId="0" fontId="0" fillId="0" borderId="25" xfId="0" applyFont="1" applyBorder="1"/>
    <xf numFmtId="0" fontId="38" fillId="5" borderId="44" xfId="0" applyFont="1" applyFill="1" applyBorder="1" applyAlignment="1">
      <alignment horizontal="left"/>
    </xf>
    <xf numFmtId="0" fontId="38" fillId="28" borderId="44" xfId="0" applyFont="1" applyFill="1" applyBorder="1" applyAlignment="1">
      <alignment horizontal="left"/>
    </xf>
    <xf numFmtId="0" fontId="45" fillId="0" borderId="20" xfId="0" applyFont="1" applyBorder="1"/>
    <xf numFmtId="0" fontId="8" fillId="24" borderId="59" xfId="0" applyFont="1" applyFill="1" applyBorder="1" applyAlignment="1">
      <alignment vertical="center"/>
    </xf>
    <xf numFmtId="12" fontId="8" fillId="5" borderId="60" xfId="0" applyNumberFormat="1" applyFont="1" applyFill="1" applyBorder="1" applyAlignment="1">
      <alignment horizontal="left" vertical="center"/>
    </xf>
    <xf numFmtId="0" fontId="45" fillId="0" borderId="44" xfId="0" applyFont="1" applyBorder="1"/>
    <xf numFmtId="0" fontId="8" fillId="24" borderId="43" xfId="0" applyFont="1" applyFill="1" applyBorder="1" applyAlignment="1">
      <alignment vertical="center"/>
    </xf>
    <xf numFmtId="0" fontId="8" fillId="5" borderId="40" xfId="0" applyFont="1" applyFill="1" applyBorder="1" applyAlignment="1">
      <alignment horizontal="left" vertical="center"/>
    </xf>
    <xf numFmtId="0" fontId="0" fillId="5" borderId="44" xfId="0" applyFont="1" applyFill="1" applyBorder="1"/>
    <xf numFmtId="0" fontId="36" fillId="5" borderId="44" xfId="0" quotePrefix="1" applyFont="1" applyFill="1" applyBorder="1" applyAlignment="1">
      <alignment horizontal="left"/>
    </xf>
    <xf numFmtId="0" fontId="8" fillId="24" borderId="61" xfId="0" applyFont="1" applyFill="1" applyBorder="1" applyAlignment="1">
      <alignment vertical="center"/>
    </xf>
    <xf numFmtId="0" fontId="38" fillId="0" borderId="44" xfId="0" applyFont="1" applyBorder="1" applyAlignment="1">
      <alignment horizontal="left" wrapText="1"/>
    </xf>
    <xf numFmtId="0" fontId="4" fillId="5" borderId="40" xfId="25" applyFont="1" applyFill="1" applyBorder="1" applyAlignment="1">
      <alignment vertical="center" wrapText="1"/>
    </xf>
    <xf numFmtId="0" fontId="8" fillId="5" borderId="7" xfId="0" applyFont="1" applyFill="1" applyBorder="1" applyAlignment="1">
      <alignment horizontal="left" vertical="center"/>
    </xf>
    <xf numFmtId="0" fontId="0" fillId="5" borderId="44" xfId="0" applyFont="1" applyFill="1" applyBorder="1" applyAlignment="1">
      <alignment horizontal="left"/>
    </xf>
    <xf numFmtId="0" fontId="37" fillId="11" borderId="44" xfId="0" applyFont="1" applyFill="1" applyBorder="1" applyAlignment="1">
      <alignment vertical="top" wrapText="1"/>
    </xf>
    <xf numFmtId="0" fontId="47" fillId="0" borderId="44" xfId="0" applyFont="1" applyBorder="1"/>
    <xf numFmtId="0" fontId="48" fillId="24" borderId="62" xfId="0" applyFont="1" applyFill="1" applyBorder="1" applyAlignment="1">
      <alignment vertical="center"/>
    </xf>
    <xf numFmtId="0" fontId="8" fillId="5" borderId="44" xfId="0" applyFont="1" applyFill="1" applyBorder="1" applyAlignment="1">
      <alignment horizontal="left" vertical="center"/>
    </xf>
    <xf numFmtId="0" fontId="38" fillId="28" borderId="44" xfId="0" applyFont="1" applyFill="1" applyBorder="1" applyAlignment="1">
      <alignment wrapText="1"/>
    </xf>
    <xf numFmtId="0" fontId="34" fillId="0" borderId="43" xfId="0" applyFont="1" applyBorder="1" applyAlignment="1" applyProtection="1">
      <alignment horizontal="left" vertical="top" wrapText="1"/>
      <protection locked="0"/>
    </xf>
    <xf numFmtId="0" fontId="47" fillId="0" borderId="28" xfId="0" applyFont="1" applyBorder="1"/>
    <xf numFmtId="0" fontId="48" fillId="24" borderId="63" xfId="0" applyFont="1" applyFill="1" applyBorder="1" applyAlignment="1">
      <alignment horizontal="center" vertical="top"/>
    </xf>
    <xf numFmtId="0" fontId="0" fillId="0" borderId="64" xfId="0" applyFont="1" applyBorder="1" applyAlignment="1">
      <alignment horizontal="center"/>
    </xf>
    <xf numFmtId="0" fontId="36" fillId="0" borderId="44" xfId="0" applyFont="1" applyBorder="1" applyAlignment="1">
      <alignment horizontal="left"/>
    </xf>
    <xf numFmtId="0" fontId="34" fillId="0" borderId="38" xfId="0" applyFont="1" applyBorder="1" applyAlignment="1" applyProtection="1">
      <alignment horizontal="left" vertical="top" wrapText="1"/>
      <protection locked="0"/>
    </xf>
    <xf numFmtId="0" fontId="37" fillId="20" borderId="44" xfId="0" applyFont="1" applyFill="1" applyBorder="1" applyAlignment="1">
      <alignment horizontal="left" vertical="top" wrapText="1"/>
    </xf>
    <xf numFmtId="0" fontId="33" fillId="5" borderId="44" xfId="0" applyFont="1" applyFill="1" applyBorder="1"/>
    <xf numFmtId="12" fontId="50" fillId="0" borderId="44" xfId="0" applyNumberFormat="1" applyFont="1" applyBorder="1" applyAlignment="1">
      <alignment horizontal="left"/>
    </xf>
    <xf numFmtId="0" fontId="19" fillId="0" borderId="40" xfId="0" applyFont="1" applyBorder="1" applyAlignment="1">
      <alignment horizontal="center"/>
    </xf>
    <xf numFmtId="0" fontId="50" fillId="0" borderId="44" xfId="0" applyFont="1" applyBorder="1" applyAlignment="1">
      <alignment horizontal="left"/>
    </xf>
    <xf numFmtId="0" fontId="19" fillId="5" borderId="40" xfId="0" applyFont="1" applyFill="1" applyBorder="1" applyAlignment="1">
      <alignment horizontal="center" wrapText="1"/>
    </xf>
    <xf numFmtId="0" fontId="50" fillId="0" borderId="25" xfId="0" applyFont="1" applyBorder="1" applyAlignment="1">
      <alignment horizontal="left"/>
    </xf>
    <xf numFmtId="0" fontId="48" fillId="0" borderId="44" xfId="0" applyFont="1" applyBorder="1"/>
    <xf numFmtId="0" fontId="36" fillId="20" borderId="44" xfId="0" applyFont="1" applyFill="1" applyBorder="1" applyAlignment="1">
      <alignment horizontal="left" wrapText="1"/>
    </xf>
    <xf numFmtId="0" fontId="51" fillId="0" borderId="44" xfId="0" applyFont="1" applyBorder="1" applyAlignment="1">
      <alignment horizontal="left"/>
    </xf>
    <xf numFmtId="0" fontId="47" fillId="0" borderId="44" xfId="0" applyFont="1" applyBorder="1" applyAlignment="1">
      <alignment vertical="center"/>
    </xf>
    <xf numFmtId="0" fontId="51" fillId="0" borderId="44" xfId="0" applyFont="1" applyBorder="1" applyAlignment="1">
      <alignment horizontal="left" wrapText="1"/>
    </xf>
    <xf numFmtId="0" fontId="45" fillId="0" borderId="44" xfId="0" applyFont="1" applyBorder="1" applyAlignment="1">
      <alignment wrapText="1"/>
    </xf>
    <xf numFmtId="0" fontId="36" fillId="5" borderId="25" xfId="0" applyFont="1" applyFill="1" applyBorder="1" applyAlignment="1">
      <alignment horizontal="left"/>
    </xf>
    <xf numFmtId="0" fontId="38" fillId="28" borderId="25" xfId="0" applyFont="1" applyFill="1" applyBorder="1" applyAlignment="1">
      <alignment wrapText="1"/>
    </xf>
    <xf numFmtId="0" fontId="38" fillId="0" borderId="25" xfId="0" applyFont="1" applyBorder="1" applyAlignment="1">
      <alignment horizontal="left"/>
    </xf>
    <xf numFmtId="0" fontId="37" fillId="20" borderId="25" xfId="0" applyFont="1" applyFill="1" applyBorder="1" applyAlignment="1">
      <alignment horizontal="left" vertical="center" wrapText="1"/>
    </xf>
    <xf numFmtId="0" fontId="36" fillId="31" borderId="44" xfId="0" applyFont="1" applyFill="1" applyBorder="1" applyAlignment="1">
      <alignment horizontal="left"/>
    </xf>
    <xf numFmtId="0" fontId="38" fillId="32" borderId="44" xfId="0" applyFont="1" applyFill="1" applyBorder="1" applyAlignment="1">
      <alignment horizontal="left"/>
    </xf>
    <xf numFmtId="0" fontId="37" fillId="11" borderId="44" xfId="0" applyFont="1" applyFill="1" applyBorder="1"/>
    <xf numFmtId="0" fontId="53" fillId="0" borderId="0" xfId="0" applyFont="1"/>
    <xf numFmtId="0" fontId="36" fillId="31" borderId="25" xfId="0" applyFont="1" applyFill="1" applyBorder="1" applyAlignment="1">
      <alignment horizontal="left"/>
    </xf>
    <xf numFmtId="0" fontId="38" fillId="32" borderId="25" xfId="0" applyFont="1" applyFill="1" applyBorder="1" applyAlignment="1">
      <alignment horizontal="left" vertical="top"/>
    </xf>
    <xf numFmtId="0" fontId="0" fillId="0" borderId="44" xfId="0" applyFont="1" applyBorder="1" applyAlignment="1">
      <alignment horizontal="left"/>
    </xf>
    <xf numFmtId="0" fontId="38" fillId="0" borderId="44" xfId="0" applyFont="1" applyBorder="1" applyAlignment="1"/>
    <xf numFmtId="49" fontId="38" fillId="23" borderId="44" xfId="0" applyNumberFormat="1" applyFont="1" applyFill="1" applyBorder="1" applyAlignment="1">
      <alignment horizontal="left"/>
    </xf>
    <xf numFmtId="49" fontId="38" fillId="23" borderId="25" xfId="0" applyNumberFormat="1" applyFont="1" applyFill="1" applyBorder="1"/>
    <xf numFmtId="0" fontId="38" fillId="23" borderId="25" xfId="0" applyFont="1" applyFill="1" applyBorder="1" applyAlignment="1">
      <alignment horizontal="left"/>
    </xf>
    <xf numFmtId="0" fontId="38" fillId="5" borderId="44" xfId="0" applyFont="1" applyFill="1" applyBorder="1"/>
    <xf numFmtId="0" fontId="38" fillId="33" borderId="44" xfId="0" applyFont="1" applyFill="1" applyBorder="1"/>
    <xf numFmtId="0" fontId="38" fillId="0" borderId="25" xfId="0" applyFont="1" applyBorder="1"/>
    <xf numFmtId="0" fontId="38" fillId="33" borderId="25" xfId="0" applyFont="1" applyFill="1" applyBorder="1"/>
    <xf numFmtId="0" fontId="19" fillId="5" borderId="44" xfId="0" applyFont="1" applyFill="1" applyBorder="1" applyAlignment="1">
      <alignment horizontal="center" wrapText="1"/>
    </xf>
    <xf numFmtId="0" fontId="38" fillId="5" borderId="25" xfId="0" applyFont="1" applyFill="1" applyBorder="1"/>
    <xf numFmtId="0" fontId="38" fillId="12" borderId="25" xfId="0" applyFont="1" applyFill="1" applyBorder="1"/>
    <xf numFmtId="0" fontId="37" fillId="20" borderId="7" xfId="0" applyFont="1" applyFill="1" applyBorder="1" applyAlignment="1">
      <alignment horizontal="left" vertical="top" wrapText="1"/>
    </xf>
    <xf numFmtId="0" fontId="0" fillId="0" borderId="74" xfId="0" applyFont="1" applyBorder="1" applyAlignment="1">
      <alignment wrapText="1"/>
    </xf>
    <xf numFmtId="0" fontId="38" fillId="35" borderId="44" xfId="0" applyFont="1" applyFill="1" applyBorder="1"/>
    <xf numFmtId="0" fontId="36" fillId="35" borderId="44" xfId="0" applyFont="1" applyFill="1" applyBorder="1" applyAlignment="1">
      <alignment horizontal="left"/>
    </xf>
    <xf numFmtId="0" fontId="0" fillId="0" borderId="75" xfId="0" applyFont="1" applyBorder="1" applyAlignment="1">
      <alignment wrapText="1"/>
    </xf>
    <xf numFmtId="0" fontId="0" fillId="0" borderId="76" xfId="0" applyFont="1" applyBorder="1" applyAlignment="1">
      <alignment wrapText="1"/>
    </xf>
    <xf numFmtId="0" fontId="58" fillId="0" borderId="44" xfId="0" applyFont="1" applyBorder="1"/>
    <xf numFmtId="0" fontId="0" fillId="0" borderId="77" xfId="0" applyFont="1" applyBorder="1" applyAlignment="1">
      <alignment wrapText="1"/>
    </xf>
    <xf numFmtId="0" fontId="38" fillId="20" borderId="40" xfId="0" applyFont="1" applyFill="1" applyBorder="1" applyAlignment="1">
      <alignment horizontal="left" vertical="center"/>
    </xf>
    <xf numFmtId="0" fontId="0" fillId="0" borderId="44" xfId="0" applyFont="1" applyFill="1" applyBorder="1"/>
    <xf numFmtId="0" fontId="0" fillId="0" borderId="77" xfId="0" applyFont="1" applyBorder="1"/>
    <xf numFmtId="0" fontId="0" fillId="0" borderId="75" xfId="0" applyFont="1" applyBorder="1"/>
    <xf numFmtId="0" fontId="0" fillId="0" borderId="76" xfId="0" applyFont="1" applyBorder="1"/>
    <xf numFmtId="0" fontId="0" fillId="0" borderId="78" xfId="0" applyFont="1" applyBorder="1"/>
    <xf numFmtId="0" fontId="0" fillId="0" borderId="0" xfId="0" applyFont="1" applyBorder="1"/>
    <xf numFmtId="0" fontId="0" fillId="0" borderId="80" xfId="0" applyFont="1" applyBorder="1"/>
    <xf numFmtId="0" fontId="0" fillId="0" borderId="43" xfId="0" applyFont="1" applyBorder="1" applyAlignment="1">
      <alignment horizontal="center"/>
    </xf>
    <xf numFmtId="0" fontId="0" fillId="0" borderId="81" xfId="0" applyFont="1" applyBorder="1"/>
    <xf numFmtId="0" fontId="59" fillId="18" borderId="11" xfId="0" applyFont="1" applyFill="1" applyBorder="1" applyAlignment="1" applyProtection="1">
      <alignment horizontal="center" vertical="top" wrapText="1"/>
      <protection locked="0"/>
    </xf>
    <xf numFmtId="0" fontId="59" fillId="18" borderId="50" xfId="0" applyFont="1" applyFill="1" applyBorder="1" applyAlignment="1" applyProtection="1">
      <alignment horizontal="center" vertical="top" wrapText="1"/>
      <protection locked="0"/>
    </xf>
    <xf numFmtId="0" fontId="59" fillId="18" borderId="51" xfId="0" applyFont="1" applyFill="1" applyBorder="1" applyAlignment="1" applyProtection="1">
      <alignment horizontal="center" vertical="top" wrapText="1"/>
      <protection locked="0"/>
    </xf>
    <xf numFmtId="0" fontId="38" fillId="0" borderId="43" xfId="0" applyFont="1" applyBorder="1"/>
    <xf numFmtId="0" fontId="0" fillId="0" borderId="82" xfId="0" applyFont="1" applyFill="1" applyBorder="1"/>
    <xf numFmtId="0" fontId="59" fillId="18" borderId="27" xfId="0" applyFont="1" applyFill="1" applyBorder="1" applyAlignment="1" applyProtection="1">
      <alignment horizontal="center" vertical="top" wrapText="1"/>
      <protection locked="0"/>
    </xf>
    <xf numFmtId="0" fontId="59" fillId="18" borderId="79" xfId="0" applyFont="1" applyFill="1" applyBorder="1" applyAlignment="1" applyProtection="1">
      <alignment horizontal="center" vertical="top" wrapText="1"/>
      <protection locked="0"/>
    </xf>
    <xf numFmtId="0" fontId="0" fillId="0" borderId="44" xfId="0" applyBorder="1"/>
    <xf numFmtId="0" fontId="36" fillId="24" borderId="13" xfId="26" applyFont="1" applyFill="1" applyBorder="1" applyAlignment="1">
      <alignment vertical="top" wrapText="1"/>
    </xf>
    <xf numFmtId="0" fontId="42" fillId="0" borderId="44" xfId="0" applyFont="1" applyBorder="1" applyAlignment="1" applyProtection="1">
      <alignment horizontal="left" vertical="top"/>
      <protection locked="0"/>
    </xf>
    <xf numFmtId="0" fontId="0" fillId="0" borderId="0" xfId="0" applyAlignment="1">
      <alignment horizontal="center"/>
    </xf>
    <xf numFmtId="0" fontId="5" fillId="0" borderId="44" xfId="0" applyFont="1" applyBorder="1"/>
    <xf numFmtId="0" fontId="5" fillId="36" borderId="44" xfId="0" applyFont="1" applyFill="1" applyBorder="1" applyAlignment="1">
      <alignment horizontal="center"/>
    </xf>
    <xf numFmtId="0" fontId="0" fillId="2" borderId="44" xfId="0" applyFill="1" applyBorder="1" applyAlignment="1">
      <alignment wrapText="1"/>
    </xf>
    <xf numFmtId="0" fontId="0" fillId="0" borderId="44" xfId="0" applyBorder="1" applyAlignment="1">
      <alignment wrapText="1"/>
    </xf>
    <xf numFmtId="0" fontId="0" fillId="2" borderId="44" xfId="0" applyFill="1" applyBorder="1"/>
    <xf numFmtId="0" fontId="0" fillId="36" borderId="44" xfId="0" applyFill="1" applyBorder="1"/>
    <xf numFmtId="0" fontId="0" fillId="2" borderId="44" xfId="0" applyFill="1" applyBorder="1" applyAlignment="1"/>
    <xf numFmtId="15" fontId="0" fillId="0" borderId="25" xfId="0" applyNumberFormat="1" applyBorder="1" applyAlignment="1">
      <alignment horizontal="center" vertical="center"/>
    </xf>
    <xf numFmtId="15" fontId="0" fillId="0" borderId="83" xfId="0" applyNumberFormat="1" applyBorder="1" applyAlignment="1">
      <alignment horizontal="center" vertical="center"/>
    </xf>
    <xf numFmtId="0" fontId="0" fillId="36" borderId="0" xfId="0" applyFill="1"/>
    <xf numFmtId="0" fontId="19" fillId="2" borderId="44" xfId="0" applyFont="1" applyFill="1" applyBorder="1" applyAlignment="1">
      <alignment wrapText="1"/>
    </xf>
    <xf numFmtId="0" fontId="19" fillId="0" borderId="44" xfId="0" applyFont="1" applyBorder="1"/>
    <xf numFmtId="0" fontId="61" fillId="12" borderId="0" xfId="0" applyFont="1" applyFill="1" applyAlignment="1">
      <alignment horizontal="center"/>
    </xf>
    <xf numFmtId="0" fontId="62" fillId="0" borderId="0" xfId="0" applyFont="1" applyAlignment="1">
      <alignment horizontal="center"/>
    </xf>
    <xf numFmtId="0" fontId="12" fillId="0" borderId="28" xfId="0" applyFont="1" applyBorder="1"/>
    <xf numFmtId="15" fontId="11" fillId="37" borderId="0" xfId="0" applyNumberFormat="1" applyFont="1" applyFill="1" applyAlignment="1">
      <alignment horizontal="left"/>
    </xf>
    <xf numFmtId="0" fontId="11" fillId="37" borderId="0" xfId="0" applyFont="1" applyFill="1" applyAlignment="1">
      <alignment horizontal="left"/>
    </xf>
    <xf numFmtId="0" fontId="0" fillId="0" borderId="0" xfId="0" applyAlignment="1">
      <alignment horizontal="left"/>
    </xf>
    <xf numFmtId="0" fontId="5" fillId="37" borderId="20" xfId="0" applyFont="1" applyFill="1" applyBorder="1" applyAlignment="1">
      <alignment horizontal="center" vertical="center" wrapText="1"/>
    </xf>
    <xf numFmtId="0" fontId="5" fillId="37" borderId="49" xfId="0" applyFont="1" applyFill="1" applyBorder="1" applyAlignment="1">
      <alignment horizontal="center" vertical="center" wrapText="1"/>
    </xf>
    <xf numFmtId="0" fontId="5" fillId="37" borderId="84" xfId="0" applyFont="1" applyFill="1" applyBorder="1" applyAlignment="1">
      <alignment horizontal="center" vertical="center" wrapText="1"/>
    </xf>
    <xf numFmtId="0" fontId="5" fillId="37" borderId="85" xfId="0" applyFont="1" applyFill="1" applyBorder="1" applyAlignment="1">
      <alignment horizontal="left" vertical="center" wrapText="1"/>
    </xf>
    <xf numFmtId="0" fontId="5" fillId="37" borderId="84" xfId="0" applyFont="1" applyFill="1" applyBorder="1" applyAlignment="1">
      <alignment horizontal="center" vertical="center"/>
    </xf>
    <xf numFmtId="0" fontId="5" fillId="37" borderId="59" xfId="0" applyFont="1" applyFill="1" applyBorder="1" applyAlignment="1">
      <alignment horizontal="center" vertical="center"/>
    </xf>
    <xf numFmtId="0" fontId="5" fillId="37" borderId="22" xfId="0" applyFont="1" applyFill="1" applyBorder="1" applyAlignment="1">
      <alignment horizontal="left" vertical="center"/>
    </xf>
    <xf numFmtId="0" fontId="5" fillId="37" borderId="86" xfId="0" applyFont="1" applyFill="1" applyBorder="1" applyAlignment="1">
      <alignment horizontal="center" vertical="center"/>
    </xf>
    <xf numFmtId="9" fontId="0" fillId="0" borderId="87" xfId="3" applyFont="1" applyFill="1" applyBorder="1" applyAlignment="1">
      <alignment horizontal="center"/>
    </xf>
    <xf numFmtId="9" fontId="0" fillId="0" borderId="88" xfId="0" applyNumberFormat="1" applyBorder="1" applyAlignment="1">
      <alignment horizontal="center" wrapText="1"/>
    </xf>
    <xf numFmtId="9" fontId="0" fillId="0" borderId="89" xfId="0" applyNumberFormat="1" applyBorder="1" applyAlignment="1">
      <alignment horizontal="center"/>
    </xf>
    <xf numFmtId="9" fontId="0" fillId="0" borderId="87" xfId="3" applyFont="1" applyFill="1" applyBorder="1" applyAlignment="1">
      <alignment horizontal="center" vertical="center"/>
    </xf>
    <xf numFmtId="0" fontId="0" fillId="11" borderId="0" xfId="0" applyFill="1" applyAlignment="1">
      <alignment horizontal="center"/>
    </xf>
    <xf numFmtId="9" fontId="0" fillId="0" borderId="88" xfId="0" applyNumberFormat="1" applyBorder="1" applyAlignment="1">
      <alignment horizontal="center"/>
    </xf>
    <xf numFmtId="0" fontId="0" fillId="0" borderId="90" xfId="0" applyBorder="1" applyAlignment="1">
      <alignment horizontal="left" vertical="center"/>
    </xf>
    <xf numFmtId="0" fontId="0" fillId="0" borderId="87" xfId="0" applyBorder="1" applyAlignment="1">
      <alignment horizontal="center" vertical="center"/>
    </xf>
    <xf numFmtId="9" fontId="0" fillId="0" borderId="87" xfId="0" applyNumberFormat="1" applyBorder="1" applyAlignment="1">
      <alignment horizontal="center" vertical="center"/>
    </xf>
    <xf numFmtId="9" fontId="4" fillId="0" borderId="91" xfId="0" applyNumberFormat="1" applyFont="1" applyBorder="1" applyAlignment="1">
      <alignment horizontal="center" vertical="center"/>
    </xf>
    <xf numFmtId="9" fontId="4" fillId="0" borderId="92" xfId="0" applyNumberFormat="1" applyFont="1" applyBorder="1" applyAlignment="1">
      <alignment horizontal="center"/>
    </xf>
    <xf numFmtId="9" fontId="0" fillId="0" borderId="93" xfId="0" applyNumberFormat="1" applyBorder="1" applyAlignment="1">
      <alignment wrapText="1"/>
    </xf>
    <xf numFmtId="9" fontId="0" fillId="0" borderId="89" xfId="0" applyNumberFormat="1" applyBorder="1" applyAlignment="1">
      <alignment wrapText="1"/>
    </xf>
    <xf numFmtId="0" fontId="18" fillId="17" borderId="0" xfId="0" applyFont="1" applyFill="1"/>
    <xf numFmtId="0" fontId="5" fillId="0" borderId="0" xfId="0" applyFont="1" applyAlignment="1">
      <alignment horizontal="center" vertical="center"/>
    </xf>
    <xf numFmtId="0" fontId="5" fillId="0" borderId="0" xfId="0" applyFont="1" applyAlignment="1">
      <alignment horizontal="left" vertical="center"/>
    </xf>
    <xf numFmtId="9" fontId="0" fillId="0" borderId="0" xfId="0" applyNumberFormat="1" applyAlignment="1">
      <alignment horizontal="center" wrapText="1"/>
    </xf>
    <xf numFmtId="9" fontId="0" fillId="0" borderId="0" xfId="0" applyNumberFormat="1" applyAlignment="1">
      <alignment horizontal="center"/>
    </xf>
    <xf numFmtId="0" fontId="0" fillId="0" borderId="94" xfId="0" applyBorder="1" applyAlignment="1">
      <alignment horizontal="center"/>
    </xf>
    <xf numFmtId="1" fontId="0" fillId="0" borderId="0" xfId="0" applyNumberFormat="1" applyAlignment="1">
      <alignment horizontal="center" wrapText="1"/>
    </xf>
    <xf numFmtId="9" fontId="0" fillId="16" borderId="91" xfId="0" applyNumberFormat="1" applyFill="1" applyBorder="1" applyAlignment="1">
      <alignment horizontal="center" vertical="center"/>
    </xf>
    <xf numFmtId="9" fontId="0" fillId="0" borderId="0" xfId="0" applyNumberFormat="1" applyAlignment="1">
      <alignment wrapText="1"/>
    </xf>
    <xf numFmtId="0" fontId="63" fillId="0" borderId="28" xfId="0" applyFont="1" applyBorder="1"/>
    <xf numFmtId="0" fontId="5" fillId="37" borderId="22" xfId="0" applyFont="1" applyFill="1" applyBorder="1" applyAlignment="1">
      <alignment vertical="center" wrapText="1"/>
    </xf>
    <xf numFmtId="0" fontId="5" fillId="37" borderId="22" xfId="0" applyFont="1" applyFill="1" applyBorder="1" applyAlignment="1">
      <alignment horizontal="center" vertical="center" wrapText="1"/>
    </xf>
    <xf numFmtId="0" fontId="5" fillId="37" borderId="95" xfId="0" applyFont="1" applyFill="1" applyBorder="1" applyAlignment="1">
      <alignment horizontal="center" vertical="center" wrapText="1"/>
    </xf>
    <xf numFmtId="0" fontId="64" fillId="0" borderId="0" xfId="0" applyFont="1"/>
    <xf numFmtId="0" fontId="65" fillId="0" borderId="0" xfId="0" applyFont="1"/>
    <xf numFmtId="0" fontId="4" fillId="0" borderId="0" xfId="0" applyFont="1"/>
    <xf numFmtId="0" fontId="5" fillId="11" borderId="0" xfId="0" applyFont="1" applyFill="1"/>
    <xf numFmtId="0" fontId="5" fillId="0" borderId="96" xfId="0" applyFont="1" applyBorder="1"/>
    <xf numFmtId="0" fontId="66" fillId="0" borderId="97" xfId="0" applyFont="1" applyBorder="1" applyAlignment="1">
      <alignment horizontal="center" vertical="center"/>
    </xf>
    <xf numFmtId="0" fontId="5" fillId="13" borderId="0" xfId="0" applyFont="1" applyFill="1"/>
    <xf numFmtId="0" fontId="6" fillId="0" borderId="96" xfId="0" applyFont="1" applyBorder="1"/>
    <xf numFmtId="49" fontId="4" fillId="0" borderId="0" xfId="0" applyNumberFormat="1" applyFont="1"/>
    <xf numFmtId="0" fontId="0" fillId="0" borderId="96" xfId="0" applyBorder="1"/>
    <xf numFmtId="0" fontId="63" fillId="0" borderId="0" xfId="0" applyFont="1"/>
    <xf numFmtId="0" fontId="63" fillId="0" borderId="98" xfId="0" applyFont="1" applyBorder="1"/>
    <xf numFmtId="0" fontId="5" fillId="37" borderId="23" xfId="0" applyFont="1" applyFill="1" applyBorder="1" applyAlignment="1">
      <alignment horizontal="center" vertical="center" wrapText="1"/>
    </xf>
    <xf numFmtId="0" fontId="5" fillId="37" borderId="99" xfId="0" applyFont="1" applyFill="1" applyBorder="1" applyAlignment="1">
      <alignment horizontal="center" vertical="center" wrapText="1"/>
    </xf>
    <xf numFmtId="0" fontId="5" fillId="37" borderId="101" xfId="0" applyFont="1" applyFill="1" applyBorder="1" applyAlignment="1">
      <alignment horizontal="center" vertical="center" wrapText="1"/>
    </xf>
    <xf numFmtId="0" fontId="5" fillId="37" borderId="102" xfId="0" applyFont="1" applyFill="1" applyBorder="1" applyAlignment="1">
      <alignment horizontal="center" vertical="center" wrapText="1"/>
    </xf>
    <xf numFmtId="0" fontId="73" fillId="0" borderId="0" xfId="0" applyFont="1" applyAlignment="1">
      <alignment horizontal="center"/>
    </xf>
    <xf numFmtId="0" fontId="18" fillId="0" borderId="96" xfId="0" applyFont="1" applyBorder="1"/>
    <xf numFmtId="0" fontId="66" fillId="0" borderId="83" xfId="0" applyFont="1" applyBorder="1" applyAlignment="1">
      <alignment horizontal="center" vertical="center"/>
    </xf>
    <xf numFmtId="0" fontId="75" fillId="0" borderId="103" xfId="0" applyFont="1" applyBorder="1" applyAlignment="1">
      <alignment horizontal="center" vertical="top" wrapText="1" readingOrder="1"/>
    </xf>
    <xf numFmtId="0" fontId="16" fillId="0" borderId="97" xfId="0" applyFont="1" applyBorder="1" applyAlignment="1">
      <alignment horizontal="center"/>
    </xf>
    <xf numFmtId="0" fontId="76" fillId="40" borderId="97" xfId="0" applyFont="1" applyFill="1" applyBorder="1" applyAlignment="1">
      <alignment horizontal="center" vertical="center"/>
    </xf>
    <xf numFmtId="0" fontId="3" fillId="0" borderId="104" xfId="0" applyFont="1" applyBorder="1"/>
    <xf numFmtId="0" fontId="75" fillId="0" borderId="48" xfId="0" applyFont="1" applyBorder="1" applyAlignment="1">
      <alignment horizontal="center" vertical="center" wrapText="1" readingOrder="1"/>
    </xf>
    <xf numFmtId="0" fontId="66" fillId="40" borderId="97" xfId="0" applyFont="1" applyFill="1" applyBorder="1" applyAlignment="1">
      <alignment horizontal="center" vertical="center"/>
    </xf>
    <xf numFmtId="0" fontId="77" fillId="0" borderId="97" xfId="0" applyFont="1" applyBorder="1" applyAlignment="1">
      <alignment horizontal="center"/>
    </xf>
    <xf numFmtId="0" fontId="79" fillId="0" borderId="48" xfId="0" applyFont="1" applyBorder="1" applyAlignment="1">
      <alignment horizontal="center" vertical="top" wrapText="1"/>
    </xf>
    <xf numFmtId="0" fontId="80" fillId="0" borderId="48" xfId="0" applyFont="1" applyBorder="1" applyAlignment="1">
      <alignment horizontal="center" vertical="top" wrapText="1" readingOrder="1"/>
    </xf>
    <xf numFmtId="0" fontId="3" fillId="0" borderId="96" xfId="0" applyFont="1" applyBorder="1"/>
    <xf numFmtId="0" fontId="0" fillId="0" borderId="96" xfId="0" applyBorder="1" applyAlignment="1">
      <alignment horizontal="center"/>
    </xf>
    <xf numFmtId="0" fontId="62" fillId="0" borderId="0" xfId="0" applyFont="1" applyAlignment="1">
      <alignment horizontal="left"/>
    </xf>
    <xf numFmtId="165" fontId="18" fillId="2" borderId="0" xfId="0" applyNumberFormat="1" applyFont="1" applyFill="1" applyAlignment="1">
      <alignment horizontal="center"/>
    </xf>
    <xf numFmtId="0" fontId="11" fillId="2" borderId="0" xfId="0" applyFont="1" applyFill="1" applyAlignment="1">
      <alignment horizontal="center"/>
    </xf>
    <xf numFmtId="0" fontId="30" fillId="41" borderId="109" xfId="0" applyFont="1" applyFill="1" applyBorder="1" applyAlignment="1">
      <alignment horizontal="center" vertical="center"/>
    </xf>
    <xf numFmtId="0" fontId="30" fillId="41" borderId="110" xfId="0" applyFont="1" applyFill="1" applyBorder="1" applyAlignment="1">
      <alignment horizontal="center" vertical="center"/>
    </xf>
    <xf numFmtId="0" fontId="86" fillId="2" borderId="116" xfId="0" applyFont="1" applyFill="1" applyBorder="1" applyAlignment="1">
      <alignment horizontal="center" vertical="center" wrapText="1"/>
    </xf>
    <xf numFmtId="0" fontId="86" fillId="2" borderId="117" xfId="0" applyFont="1" applyFill="1" applyBorder="1" applyAlignment="1">
      <alignment horizontal="center" vertical="center" wrapText="1"/>
    </xf>
    <xf numFmtId="0" fontId="2" fillId="2" borderId="117" xfId="0" applyFont="1" applyFill="1" applyBorder="1" applyAlignment="1">
      <alignment horizontal="center" vertical="center" wrapText="1"/>
    </xf>
    <xf numFmtId="0" fontId="2" fillId="12" borderId="117" xfId="0" applyFont="1" applyFill="1" applyBorder="1" applyAlignment="1">
      <alignment horizontal="center" vertical="center" wrapText="1"/>
    </xf>
    <xf numFmtId="0" fontId="2" fillId="12" borderId="27" xfId="0" applyFont="1" applyFill="1" applyBorder="1" applyAlignment="1">
      <alignment vertical="center" wrapText="1"/>
    </xf>
    <xf numFmtId="9" fontId="82" fillId="42" borderId="123" xfId="0" applyNumberFormat="1" applyFont="1" applyFill="1" applyBorder="1" applyAlignment="1">
      <alignment horizontal="center" vertical="center" wrapText="1"/>
    </xf>
    <xf numFmtId="9" fontId="82" fillId="42" borderId="124" xfId="0" applyNumberFormat="1" applyFont="1" applyFill="1" applyBorder="1" applyAlignment="1">
      <alignment horizontal="center" vertical="center" wrapText="1"/>
    </xf>
    <xf numFmtId="9" fontId="11" fillId="11" borderId="122" xfId="0" applyNumberFormat="1" applyFont="1" applyFill="1" applyBorder="1" applyAlignment="1">
      <alignment horizontal="center" vertical="center"/>
    </xf>
    <xf numFmtId="9" fontId="11" fillId="11" borderId="125" xfId="0" applyNumberFormat="1" applyFont="1" applyFill="1" applyBorder="1" applyAlignment="1">
      <alignment horizontal="center" vertical="center"/>
    </xf>
    <xf numFmtId="0" fontId="3" fillId="42" borderId="126" xfId="0" applyFont="1" applyFill="1" applyBorder="1" applyAlignment="1">
      <alignment horizontal="center" vertical="center"/>
    </xf>
    <xf numFmtId="9" fontId="82" fillId="0" borderId="123" xfId="0" applyNumberFormat="1" applyFont="1" applyBorder="1" applyAlignment="1">
      <alignment horizontal="center" vertical="center" wrapText="1"/>
    </xf>
    <xf numFmtId="9" fontId="82" fillId="0" borderId="124" xfId="0" applyNumberFormat="1" applyFont="1" applyBorder="1" applyAlignment="1">
      <alignment horizontal="center" vertical="center" wrapText="1"/>
    </xf>
    <xf numFmtId="0" fontId="87" fillId="0" borderId="0" xfId="0" applyFont="1" applyAlignment="1">
      <alignment horizontal="center"/>
    </xf>
    <xf numFmtId="0" fontId="3" fillId="42" borderId="127" xfId="0" applyFont="1" applyFill="1" applyBorder="1" applyAlignment="1">
      <alignment horizontal="center" vertical="center"/>
    </xf>
    <xf numFmtId="0" fontId="77" fillId="0" borderId="0" xfId="0" applyFont="1" applyAlignment="1">
      <alignment horizontal="center"/>
    </xf>
    <xf numFmtId="0" fontId="88" fillId="0" borderId="128" xfId="0" applyFont="1" applyBorder="1" applyAlignment="1">
      <alignment horizontal="center" vertical="center" wrapText="1"/>
    </xf>
    <xf numFmtId="0" fontId="0" fillId="42" borderId="127" xfId="0" applyFill="1" applyBorder="1" applyAlignment="1">
      <alignment horizontal="center"/>
    </xf>
    <xf numFmtId="9" fontId="3" fillId="0" borderId="123" xfId="0" applyNumberFormat="1" applyFont="1" applyBorder="1" applyAlignment="1">
      <alignment horizontal="center" vertical="center"/>
    </xf>
    <xf numFmtId="0" fontId="0" fillId="0" borderId="127" xfId="0" applyBorder="1" applyAlignment="1">
      <alignment horizontal="center"/>
    </xf>
    <xf numFmtId="9" fontId="3" fillId="42" borderId="123" xfId="0" applyNumberFormat="1" applyFont="1" applyFill="1" applyBorder="1" applyAlignment="1">
      <alignment horizontal="center" vertical="center"/>
    </xf>
    <xf numFmtId="0" fontId="4" fillId="0" borderId="127" xfId="0" applyFont="1" applyBorder="1" applyAlignment="1">
      <alignment horizontal="center"/>
    </xf>
    <xf numFmtId="9" fontId="82" fillId="41" borderId="123" xfId="0" applyNumberFormat="1" applyFont="1" applyFill="1" applyBorder="1" applyAlignment="1">
      <alignment horizontal="center" vertical="center" wrapText="1"/>
    </xf>
    <xf numFmtId="9" fontId="3" fillId="41" borderId="123" xfId="0" applyNumberFormat="1" applyFont="1" applyFill="1" applyBorder="1" applyAlignment="1">
      <alignment horizontal="center" vertical="center"/>
    </xf>
    <xf numFmtId="0" fontId="0" fillId="0" borderId="127" xfId="0" applyBorder="1"/>
    <xf numFmtId="9" fontId="3" fillId="42" borderId="124" xfId="0" applyNumberFormat="1" applyFont="1" applyFill="1" applyBorder="1" applyAlignment="1">
      <alignment horizontal="center" vertical="center"/>
    </xf>
    <xf numFmtId="0" fontId="0" fillId="42" borderId="127" xfId="0" applyFill="1" applyBorder="1"/>
    <xf numFmtId="9" fontId="3" fillId="0" borderId="124" xfId="0" applyNumberFormat="1" applyFont="1" applyBorder="1" applyAlignment="1">
      <alignment horizontal="center" vertical="center"/>
    </xf>
    <xf numFmtId="49" fontId="21" fillId="4" borderId="132" xfId="0" applyNumberFormat="1" applyFont="1" applyFill="1" applyBorder="1"/>
    <xf numFmtId="49" fontId="22" fillId="6" borderId="132" xfId="0" applyNumberFormat="1" applyFont="1" applyFill="1" applyBorder="1"/>
    <xf numFmtId="4" fontId="22" fillId="6" borderId="132" xfId="0" applyNumberFormat="1" applyFont="1" applyFill="1" applyBorder="1"/>
    <xf numFmtId="4" fontId="23" fillId="6" borderId="132" xfId="0" applyNumberFormat="1" applyFont="1" applyFill="1" applyBorder="1"/>
    <xf numFmtId="4" fontId="22" fillId="7" borderId="132" xfId="0" applyNumberFormat="1" applyFont="1" applyFill="1" applyBorder="1"/>
    <xf numFmtId="4" fontId="22" fillId="8" borderId="132" xfId="0" applyNumberFormat="1" applyFont="1" applyFill="1" applyBorder="1"/>
    <xf numFmtId="4" fontId="23" fillId="8" borderId="132" xfId="0" applyNumberFormat="1" applyFont="1" applyFill="1" applyBorder="1"/>
    <xf numFmtId="4" fontId="24" fillId="8" borderId="132" xfId="0" applyNumberFormat="1" applyFont="1" applyFill="1" applyBorder="1"/>
    <xf numFmtId="49" fontId="25" fillId="4" borderId="133" xfId="0" applyNumberFormat="1" applyFont="1" applyFill="1" applyBorder="1"/>
    <xf numFmtId="4" fontId="25" fillId="4" borderId="132" xfId="0" applyNumberFormat="1" applyFont="1" applyFill="1" applyBorder="1"/>
    <xf numFmtId="4" fontId="26" fillId="4" borderId="132" xfId="0" applyNumberFormat="1" applyFont="1" applyFill="1" applyBorder="1"/>
    <xf numFmtId="4" fontId="25" fillId="9" borderId="132" xfId="0" applyNumberFormat="1" applyFont="1" applyFill="1" applyBorder="1"/>
    <xf numFmtId="4" fontId="25" fillId="8" borderId="132" xfId="0" applyNumberFormat="1" applyFont="1" applyFill="1" applyBorder="1"/>
    <xf numFmtId="4" fontId="26" fillId="8" borderId="132" xfId="0" applyNumberFormat="1" applyFont="1" applyFill="1" applyBorder="1"/>
    <xf numFmtId="0" fontId="0" fillId="0" borderId="13" xfId="0" applyBorder="1"/>
    <xf numFmtId="0" fontId="0" fillId="0" borderId="44" xfId="0" applyBorder="1" applyAlignment="1">
      <alignment horizontal="center"/>
    </xf>
    <xf numFmtId="9" fontId="0" fillId="0" borderId="44" xfId="0" applyNumberFormat="1" applyBorder="1" applyAlignment="1">
      <alignment horizontal="center"/>
    </xf>
    <xf numFmtId="9" fontId="4" fillId="0" borderId="52" xfId="0" applyNumberFormat="1" applyFont="1" applyBorder="1" applyAlignment="1">
      <alignment horizontal="center"/>
    </xf>
    <xf numFmtId="9" fontId="4" fillId="0" borderId="134" xfId="0" applyNumberFormat="1" applyFont="1" applyBorder="1" applyAlignment="1">
      <alignment horizontal="center" wrapText="1"/>
    </xf>
    <xf numFmtId="1" fontId="0" fillId="11" borderId="134" xfId="0" applyNumberFormat="1" applyFill="1" applyBorder="1" applyAlignment="1">
      <alignment horizontal="center" wrapText="1"/>
    </xf>
    <xf numFmtId="9" fontId="0" fillId="16" borderId="13" xfId="0" applyNumberFormat="1" applyFill="1" applyBorder="1" applyAlignment="1">
      <alignment horizontal="center" wrapText="1"/>
    </xf>
    <xf numFmtId="9" fontId="0" fillId="0" borderId="44" xfId="0" applyNumberFormat="1" applyBorder="1" applyAlignment="1">
      <alignment horizontal="center" wrapText="1"/>
    </xf>
    <xf numFmtId="0" fontId="0" fillId="5" borderId="44" xfId="0" applyFill="1" applyBorder="1" applyAlignment="1">
      <alignment horizontal="center"/>
    </xf>
    <xf numFmtId="9" fontId="0" fillId="16" borderId="13" xfId="0" applyNumberFormat="1" applyFill="1" applyBorder="1" applyAlignment="1">
      <alignment horizontal="center"/>
    </xf>
    <xf numFmtId="1" fontId="4" fillId="0" borderId="44" xfId="0" applyNumberFormat="1" applyFont="1" applyBorder="1" applyAlignment="1">
      <alignment horizontal="center" wrapText="1"/>
    </xf>
    <xf numFmtId="9" fontId="5" fillId="0" borderId="52" xfId="3" applyFont="1" applyFill="1" applyBorder="1" applyAlignment="1">
      <alignment horizontal="center"/>
    </xf>
    <xf numFmtId="9" fontId="5" fillId="0" borderId="134" xfId="3" applyFont="1" applyFill="1" applyBorder="1" applyAlignment="1">
      <alignment horizontal="center"/>
    </xf>
    <xf numFmtId="1" fontId="0" fillId="11" borderId="134" xfId="0" applyNumberFormat="1" applyFill="1" applyBorder="1" applyAlignment="1">
      <alignment horizontal="center"/>
    </xf>
    <xf numFmtId="9" fontId="5" fillId="0" borderId="52" xfId="0" applyNumberFormat="1" applyFont="1" applyBorder="1" applyAlignment="1">
      <alignment horizontal="center"/>
    </xf>
    <xf numFmtId="9" fontId="5" fillId="0" borderId="134" xfId="0" applyNumberFormat="1" applyFont="1" applyBorder="1" applyAlignment="1">
      <alignment horizontal="center"/>
    </xf>
    <xf numFmtId="9" fontId="4" fillId="0" borderId="44" xfId="0" applyNumberFormat="1" applyFont="1" applyBorder="1" applyAlignment="1">
      <alignment horizontal="center"/>
    </xf>
    <xf numFmtId="9" fontId="0" fillId="0" borderId="52" xfId="0" applyNumberFormat="1" applyBorder="1" applyAlignment="1">
      <alignment horizontal="center"/>
    </xf>
    <xf numFmtId="9" fontId="0" fillId="0" borderId="134" xfId="0" applyNumberFormat="1" applyBorder="1" applyAlignment="1">
      <alignment horizontal="center"/>
    </xf>
    <xf numFmtId="0" fontId="4" fillId="5" borderId="44" xfId="0" applyFont="1" applyFill="1" applyBorder="1" applyAlignment="1">
      <alignment wrapText="1"/>
    </xf>
    <xf numFmtId="0" fontId="0" fillId="0" borderId="135" xfId="0" applyBorder="1"/>
    <xf numFmtId="0" fontId="0" fillId="0" borderId="136" xfId="0" applyBorder="1" applyAlignment="1">
      <alignment horizontal="center" vertical="center"/>
    </xf>
    <xf numFmtId="9" fontId="0" fillId="0" borderId="136" xfId="3" applyFont="1" applyFill="1" applyBorder="1" applyAlignment="1">
      <alignment horizontal="center" vertical="center"/>
    </xf>
    <xf numFmtId="9" fontId="0" fillId="0" borderId="136" xfId="0" applyNumberFormat="1" applyBorder="1" applyAlignment="1">
      <alignment horizontal="center" vertical="center"/>
    </xf>
    <xf numFmtId="0" fontId="4" fillId="0" borderId="137" xfId="0" applyFont="1" applyBorder="1" applyAlignment="1">
      <alignment horizontal="center" vertical="center"/>
    </xf>
    <xf numFmtId="0" fontId="4" fillId="0" borderId="138" xfId="0" applyFont="1" applyBorder="1" applyAlignment="1">
      <alignment horizontal="center" vertical="center"/>
    </xf>
    <xf numFmtId="1" fontId="0" fillId="11" borderId="138" xfId="0" applyNumberFormat="1" applyFill="1" applyBorder="1" applyAlignment="1">
      <alignment horizontal="center" wrapText="1"/>
    </xf>
    <xf numFmtId="9" fontId="0" fillId="16" borderId="139" xfId="0" applyNumberFormat="1" applyFill="1" applyBorder="1" applyAlignment="1">
      <alignment wrapText="1"/>
    </xf>
    <xf numFmtId="9" fontId="0" fillId="0" borderId="140" xfId="0" applyNumberFormat="1" applyBorder="1" applyAlignment="1">
      <alignment wrapText="1"/>
    </xf>
    <xf numFmtId="9" fontId="0" fillId="0" borderId="136" xfId="0" applyNumberFormat="1" applyBorder="1" applyAlignment="1">
      <alignment wrapText="1"/>
    </xf>
    <xf numFmtId="9" fontId="0" fillId="0" borderId="141" xfId="0" applyNumberFormat="1" applyBorder="1" applyAlignment="1">
      <alignment wrapText="1"/>
    </xf>
    <xf numFmtId="9" fontId="0" fillId="16" borderId="52" xfId="0" applyNumberFormat="1" applyFill="1" applyBorder="1" applyAlignment="1">
      <alignment horizontal="center"/>
    </xf>
    <xf numFmtId="9" fontId="0" fillId="11" borderId="134" xfId="0" applyNumberFormat="1" applyFill="1" applyBorder="1" applyAlignment="1">
      <alignment horizontal="center" wrapText="1"/>
    </xf>
    <xf numFmtId="1" fontId="0" fillId="0" borderId="134" xfId="0" applyNumberFormat="1" applyBorder="1" applyAlignment="1">
      <alignment horizontal="center" wrapText="1"/>
    </xf>
    <xf numFmtId="9" fontId="5" fillId="16" borderId="52" xfId="3" applyFont="1" applyFill="1" applyBorder="1" applyAlignment="1">
      <alignment horizontal="center"/>
    </xf>
    <xf numFmtId="9" fontId="5" fillId="11" borderId="134" xfId="3" applyFont="1" applyFill="1" applyBorder="1" applyAlignment="1">
      <alignment horizontal="center"/>
    </xf>
    <xf numFmtId="1" fontId="0" fillId="0" borderId="134" xfId="0" applyNumberFormat="1" applyBorder="1" applyAlignment="1">
      <alignment horizontal="center"/>
    </xf>
    <xf numFmtId="9" fontId="5" fillId="16" borderId="52" xfId="0" applyNumberFormat="1" applyFont="1" applyFill="1" applyBorder="1" applyAlignment="1">
      <alignment horizontal="center"/>
    </xf>
    <xf numFmtId="9" fontId="5" fillId="11" borderId="134" xfId="0" applyNumberFormat="1" applyFont="1" applyFill="1" applyBorder="1" applyAlignment="1">
      <alignment horizontal="center"/>
    </xf>
    <xf numFmtId="9" fontId="0" fillId="11" borderId="134" xfId="0" applyNumberFormat="1" applyFill="1" applyBorder="1" applyAlignment="1">
      <alignment horizontal="center"/>
    </xf>
    <xf numFmtId="0" fontId="4" fillId="11" borderId="44" xfId="0" applyFont="1" applyFill="1" applyBorder="1" applyAlignment="1">
      <alignment wrapText="1"/>
    </xf>
    <xf numFmtId="9" fontId="0" fillId="0" borderId="136" xfId="3" applyFont="1" applyBorder="1" applyAlignment="1">
      <alignment horizontal="center" vertical="center"/>
    </xf>
    <xf numFmtId="0" fontId="0" fillId="0" borderId="137" xfId="0" applyBorder="1" applyAlignment="1">
      <alignment horizontal="center" vertical="center"/>
    </xf>
    <xf numFmtId="0" fontId="0" fillId="0" borderId="138" xfId="0" applyBorder="1" applyAlignment="1">
      <alignment vertical="center"/>
    </xf>
    <xf numFmtId="1" fontId="0" fillId="0" borderId="138" xfId="0" applyNumberFormat="1" applyBorder="1" applyAlignment="1">
      <alignment horizontal="center" wrapText="1"/>
    </xf>
    <xf numFmtId="0" fontId="5" fillId="11" borderId="44" xfId="0" applyFont="1" applyFill="1" applyBorder="1" applyAlignment="1">
      <alignment horizontal="center" vertical="center" wrapText="1"/>
    </xf>
    <xf numFmtId="0" fontId="5" fillId="13" borderId="44" xfId="0" applyFont="1" applyFill="1" applyBorder="1" applyAlignment="1">
      <alignment wrapText="1"/>
    </xf>
    <xf numFmtId="0" fontId="0" fillId="37" borderId="44" xfId="0" applyFill="1" applyBorder="1" applyAlignment="1">
      <alignment horizontal="center"/>
    </xf>
    <xf numFmtId="0" fontId="0" fillId="12" borderId="44" xfId="0" applyFill="1" applyBorder="1" applyAlignment="1">
      <alignment horizontal="center"/>
    </xf>
    <xf numFmtId="9" fontId="0" fillId="0" borderId="44" xfId="0" applyNumberFormat="1" applyBorder="1"/>
    <xf numFmtId="0" fontId="0" fillId="11" borderId="44" xfId="0" applyFill="1" applyBorder="1" applyAlignment="1">
      <alignment horizontal="center"/>
    </xf>
    <xf numFmtId="0" fontId="0" fillId="13" borderId="44" xfId="0" applyFill="1" applyBorder="1" applyAlignment="1">
      <alignment horizontal="center"/>
    </xf>
    <xf numFmtId="0" fontId="0" fillId="13" borderId="44" xfId="0" applyFill="1" applyBorder="1" applyAlignment="1">
      <alignment horizontal="center" wrapText="1"/>
    </xf>
    <xf numFmtId="0" fontId="64" fillId="38" borderId="44" xfId="0" applyFont="1" applyFill="1" applyBorder="1"/>
    <xf numFmtId="0" fontId="64" fillId="0" borderId="44" xfId="0" applyFont="1" applyBorder="1"/>
    <xf numFmtId="0" fontId="66" fillId="0" borderId="44" xfId="0" applyFont="1" applyBorder="1" applyAlignment="1">
      <alignment horizontal="center" vertical="center"/>
    </xf>
    <xf numFmtId="0" fontId="6" fillId="0" borderId="44" xfId="0" applyFont="1" applyBorder="1"/>
    <xf numFmtId="49" fontId="67" fillId="0" borderId="44" xfId="0" applyNumberFormat="1" applyFont="1" applyBorder="1" applyAlignment="1">
      <alignment horizontal="center" vertical="center"/>
    </xf>
    <xf numFmtId="14" fontId="67" fillId="0" borderId="44" xfId="0" applyNumberFormat="1" applyFont="1" applyBorder="1" applyAlignment="1">
      <alignment horizontal="center" vertical="center"/>
    </xf>
    <xf numFmtId="0" fontId="4" fillId="0" borderId="44" xfId="27" applyFont="1" applyFill="1" applyBorder="1"/>
    <xf numFmtId="0" fontId="4" fillId="0" borderId="44" xfId="0" applyFont="1" applyBorder="1"/>
    <xf numFmtId="0" fontId="67" fillId="0" borderId="44" xfId="0" applyFont="1" applyBorder="1" applyAlignment="1">
      <alignment horizontal="center" vertical="center"/>
    </xf>
    <xf numFmtId="0" fontId="67" fillId="0" borderId="44" xfId="0" applyFont="1" applyBorder="1" applyAlignment="1">
      <alignment vertical="center"/>
    </xf>
    <xf numFmtId="0" fontId="66" fillId="5" borderId="44" xfId="0" applyFont="1" applyFill="1" applyBorder="1" applyAlignment="1">
      <alignment horizontal="center" vertical="center"/>
    </xf>
    <xf numFmtId="14" fontId="4" fillId="0" borderId="44" xfId="0" applyNumberFormat="1" applyFont="1" applyBorder="1"/>
    <xf numFmtId="49" fontId="4" fillId="0" borderId="44" xfId="0" applyNumberFormat="1" applyFont="1" applyBorder="1"/>
    <xf numFmtId="49" fontId="69" fillId="0" borderId="44" xfId="0" applyNumberFormat="1" applyFont="1" applyBorder="1" applyAlignment="1">
      <alignment wrapText="1"/>
    </xf>
    <xf numFmtId="49" fontId="0" fillId="0" borderId="44" xfId="0" applyNumberFormat="1" applyBorder="1"/>
    <xf numFmtId="0" fontId="5" fillId="37" borderId="44" xfId="0" applyFont="1" applyFill="1" applyBorder="1" applyAlignment="1">
      <alignment horizontal="center" vertical="center" wrapText="1"/>
    </xf>
    <xf numFmtId="1" fontId="4" fillId="11" borderId="44" xfId="0" applyNumberFormat="1" applyFont="1" applyFill="1" applyBorder="1" applyAlignment="1">
      <alignment horizontal="center" wrapText="1"/>
    </xf>
    <xf numFmtId="0" fontId="0" fillId="11" borderId="44" xfId="0" applyFill="1" applyBorder="1"/>
    <xf numFmtId="0" fontId="5" fillId="39" borderId="44" xfId="0" applyFont="1" applyFill="1" applyBorder="1"/>
    <xf numFmtId="0" fontId="5" fillId="17" borderId="44" xfId="0" applyFont="1" applyFill="1" applyBorder="1"/>
    <xf numFmtId="0" fontId="5" fillId="13" borderId="44" xfId="0" applyFont="1" applyFill="1" applyBorder="1"/>
    <xf numFmtId="9" fontId="0" fillId="0" borderId="44" xfId="3" applyFont="1" applyFill="1" applyBorder="1" applyAlignment="1">
      <alignment horizontal="center" vertical="center"/>
    </xf>
    <xf numFmtId="0" fontId="16" fillId="0" borderId="44" xfId="0" applyFont="1" applyBorder="1" applyAlignment="1">
      <alignment horizontal="center"/>
    </xf>
    <xf numFmtId="0" fontId="70" fillId="0" borderId="44" xfId="0" applyFont="1" applyBorder="1" applyAlignment="1">
      <alignment horizontal="center" vertical="center"/>
    </xf>
    <xf numFmtId="0" fontId="71" fillId="0" borderId="44" xfId="0" applyFont="1" applyBorder="1" applyAlignment="1">
      <alignment horizontal="center" vertical="center"/>
    </xf>
    <xf numFmtId="14" fontId="66" fillId="0" borderId="44" xfId="0" applyNumberFormat="1" applyFont="1" applyBorder="1" applyAlignment="1">
      <alignment horizontal="center" vertical="center"/>
    </xf>
    <xf numFmtId="0" fontId="72" fillId="0" borderId="44" xfId="24" applyNumberFormat="1" applyFont="1" applyFill="1" applyBorder="1" applyAlignment="1">
      <alignment horizontal="center" vertical="center"/>
    </xf>
    <xf numFmtId="0" fontId="18" fillId="0" borderId="44" xfId="0" applyFont="1" applyBorder="1"/>
    <xf numFmtId="0" fontId="73" fillId="0" borderId="44" xfId="0" applyFont="1" applyBorder="1" applyAlignment="1">
      <alignment horizontal="center" vertical="center" readingOrder="1"/>
    </xf>
    <xf numFmtId="0" fontId="74" fillId="40" borderId="44" xfId="0" applyFont="1" applyFill="1" applyBorder="1" applyAlignment="1">
      <alignment horizontal="center" vertical="center"/>
    </xf>
    <xf numFmtId="0" fontId="4" fillId="0" borderId="44" xfId="27" applyFont="1" applyBorder="1" applyAlignment="1">
      <alignment horizontal="center"/>
    </xf>
    <xf numFmtId="0" fontId="72" fillId="40" borderId="44" xfId="0" applyFont="1" applyFill="1" applyBorder="1" applyAlignment="1">
      <alignment horizontal="center" vertical="center"/>
    </xf>
    <xf numFmtId="0" fontId="16" fillId="0" borderId="44" xfId="0" applyFont="1" applyBorder="1" applyAlignment="1">
      <alignment horizontal="center" vertical="center"/>
    </xf>
    <xf numFmtId="14" fontId="66" fillId="40" borderId="44" xfId="0" applyNumberFormat="1" applyFont="1" applyFill="1" applyBorder="1" applyAlignment="1">
      <alignment horizontal="center" vertical="center"/>
    </xf>
    <xf numFmtId="0" fontId="76" fillId="40" borderId="44" xfId="0" applyFont="1" applyFill="1" applyBorder="1" applyAlignment="1">
      <alignment horizontal="center" vertical="center"/>
    </xf>
    <xf numFmtId="0" fontId="3" fillId="0" borderId="44" xfId="0" applyFont="1" applyBorder="1"/>
    <xf numFmtId="0" fontId="78" fillId="0" borderId="44" xfId="0" applyFont="1" applyBorder="1" applyAlignment="1">
      <alignment horizontal="center" wrapText="1"/>
    </xf>
    <xf numFmtId="0" fontId="16" fillId="40" borderId="44" xfId="0" applyFont="1" applyFill="1" applyBorder="1" applyAlignment="1">
      <alignment horizontal="center" vertical="center"/>
    </xf>
    <xf numFmtId="0" fontId="4" fillId="40" borderId="44" xfId="0" applyFont="1" applyFill="1" applyBorder="1" applyAlignment="1">
      <alignment horizontal="center" vertical="center"/>
    </xf>
    <xf numFmtId="14" fontId="16" fillId="40" borderId="44" xfId="0" applyNumberFormat="1" applyFont="1" applyFill="1" applyBorder="1" applyAlignment="1">
      <alignment horizontal="center" vertical="center"/>
    </xf>
    <xf numFmtId="0" fontId="66" fillId="40" borderId="44" xfId="0" applyFont="1" applyFill="1" applyBorder="1" applyAlignment="1">
      <alignment horizontal="center" vertical="center"/>
    </xf>
    <xf numFmtId="0" fontId="66" fillId="0" borderId="44" xfId="0" applyFont="1" applyBorder="1" applyAlignment="1">
      <alignment horizontal="center" vertical="center" wrapText="1"/>
    </xf>
    <xf numFmtId="0" fontId="81" fillId="0" borderId="44" xfId="0" applyFont="1" applyBorder="1" applyAlignment="1">
      <alignment horizontal="right" vertical="center" wrapText="1"/>
    </xf>
    <xf numFmtId="0" fontId="18" fillId="0" borderId="44" xfId="0" applyFont="1" applyBorder="1" applyAlignment="1">
      <alignment horizontal="center"/>
    </xf>
    <xf numFmtId="0" fontId="82" fillId="40" borderId="44" xfId="0" applyFont="1" applyFill="1" applyBorder="1" applyAlignment="1">
      <alignment horizontal="center" vertical="center"/>
    </xf>
    <xf numFmtId="49" fontId="4" fillId="0" borderId="44" xfId="0" applyNumberFormat="1" applyFont="1" applyBorder="1" applyAlignment="1">
      <alignment horizontal="center"/>
    </xf>
    <xf numFmtId="49" fontId="4" fillId="0" borderId="44" xfId="0" applyNumberFormat="1" applyFont="1" applyBorder="1" applyAlignment="1">
      <alignment horizontal="center" vertical="center"/>
    </xf>
    <xf numFmtId="16" fontId="16" fillId="0" borderId="44" xfId="0" applyNumberFormat="1" applyFont="1" applyBorder="1" applyAlignment="1">
      <alignment horizontal="center" vertical="center"/>
    </xf>
    <xf numFmtId="0" fontId="73" fillId="0" borderId="44" xfId="0" applyFont="1" applyBorder="1" applyAlignment="1">
      <alignment horizontal="center"/>
    </xf>
    <xf numFmtId="0" fontId="83" fillId="40" borderId="44" xfId="0" applyFont="1" applyFill="1" applyBorder="1" applyAlignment="1">
      <alignment horizontal="center" vertical="center"/>
    </xf>
    <xf numFmtId="0" fontId="4" fillId="0" borderId="44" xfId="0" applyFont="1" applyBorder="1" applyAlignment="1">
      <alignment horizontal="center"/>
    </xf>
    <xf numFmtId="0" fontId="16" fillId="5" borderId="44" xfId="0" applyFont="1" applyFill="1" applyBorder="1" applyAlignment="1">
      <alignment horizontal="center" vertical="center" wrapText="1"/>
    </xf>
    <xf numFmtId="0" fontId="86" fillId="42" borderId="46" xfId="0" applyFont="1" applyFill="1" applyBorder="1" applyAlignment="1">
      <alignment horizontal="center" vertical="center"/>
    </xf>
    <xf numFmtId="0" fontId="3" fillId="0" borderId="73" xfId="0" applyFont="1" applyBorder="1" applyAlignment="1">
      <alignment horizontal="center" vertical="center"/>
    </xf>
    <xf numFmtId="0" fontId="77" fillId="40" borderId="46" xfId="0" applyFont="1" applyFill="1" applyBorder="1" applyAlignment="1">
      <alignment horizontal="center" vertical="center"/>
    </xf>
    <xf numFmtId="0" fontId="83" fillId="42" borderId="46" xfId="0" applyFont="1" applyFill="1" applyBorder="1" applyAlignment="1">
      <alignment horizontal="center" vertical="center"/>
    </xf>
    <xf numFmtId="0" fontId="89" fillId="0" borderId="46" xfId="0" applyFont="1" applyBorder="1" applyAlignment="1">
      <alignment horizontal="center" vertical="center"/>
    </xf>
    <xf numFmtId="0" fontId="5" fillId="17" borderId="87" xfId="0" applyFont="1" applyFill="1" applyBorder="1" applyAlignment="1">
      <alignment horizontal="center"/>
    </xf>
    <xf numFmtId="0" fontId="5" fillId="17" borderId="87" xfId="0" applyFont="1" applyFill="1" applyBorder="1" applyAlignment="1">
      <alignment horizontal="center" wrapText="1"/>
    </xf>
    <xf numFmtId="0" fontId="0" fillId="0" borderId="93" xfId="0" applyFont="1" applyBorder="1"/>
    <xf numFmtId="0" fontId="7" fillId="5" borderId="46" xfId="0" applyFont="1" applyFill="1" applyBorder="1"/>
    <xf numFmtId="0" fontId="33" fillId="5" borderId="142" xfId="0" applyFont="1" applyFill="1" applyBorder="1" applyAlignment="1" applyProtection="1">
      <alignment horizontal="left" vertical="top" readingOrder="1"/>
      <protection locked="0"/>
    </xf>
    <xf numFmtId="0" fontId="34" fillId="5" borderId="143" xfId="0" applyFont="1" applyFill="1" applyBorder="1" applyAlignment="1" applyProtection="1">
      <alignment horizontal="left" vertical="top" wrapText="1"/>
      <protection locked="0"/>
    </xf>
    <xf numFmtId="0" fontId="0" fillId="0" borderId="88" xfId="0" applyFont="1" applyBorder="1"/>
    <xf numFmtId="0" fontId="36" fillId="5" borderId="144" xfId="0" quotePrefix="1" applyFont="1" applyFill="1" applyBorder="1" applyAlignment="1">
      <alignment horizontal="left" wrapText="1"/>
    </xf>
    <xf numFmtId="0" fontId="36" fillId="11" borderId="144" xfId="0" quotePrefix="1" applyFont="1" applyFill="1" applyBorder="1" applyAlignment="1">
      <alignment horizontal="left"/>
    </xf>
    <xf numFmtId="0" fontId="36" fillId="5" borderId="144" xfId="0" applyFont="1" applyFill="1" applyBorder="1" applyAlignment="1">
      <alignment horizontal="left"/>
    </xf>
    <xf numFmtId="0" fontId="37" fillId="20" borderId="144" xfId="0" applyFont="1" applyFill="1" applyBorder="1" applyAlignment="1">
      <alignment horizontal="left" vertical="center" wrapText="1"/>
    </xf>
    <xf numFmtId="0" fontId="0" fillId="0" borderId="145" xfId="0" applyFont="1" applyBorder="1"/>
    <xf numFmtId="0" fontId="90" fillId="11" borderId="44" xfId="0" applyFont="1" applyFill="1" applyBorder="1" applyAlignment="1">
      <alignment horizontal="left" vertical="top" wrapText="1"/>
    </xf>
    <xf numFmtId="0" fontId="40" fillId="20" borderId="142" xfId="0" applyFont="1" applyFill="1" applyBorder="1" applyAlignment="1" applyProtection="1">
      <alignment horizontal="left" vertical="top" wrapText="1"/>
      <protection locked="0"/>
    </xf>
    <xf numFmtId="0" fontId="33" fillId="5" borderId="146" xfId="0" applyFont="1" applyFill="1" applyBorder="1" applyAlignment="1" applyProtection="1">
      <alignment horizontal="left" vertical="top" readingOrder="1"/>
      <protection locked="0"/>
    </xf>
    <xf numFmtId="0" fontId="34" fillId="5" borderId="147" xfId="0" applyFont="1" applyFill="1" applyBorder="1" applyAlignment="1" applyProtection="1">
      <alignment horizontal="left" vertical="top" wrapText="1"/>
      <protection locked="0"/>
    </xf>
    <xf numFmtId="0" fontId="38" fillId="0" borderId="25" xfId="0" applyFont="1" applyBorder="1" applyAlignment="1">
      <alignment horizontal="left" vertical="center" wrapText="1"/>
    </xf>
    <xf numFmtId="0" fontId="38" fillId="11" borderId="25" xfId="0" applyFont="1" applyFill="1" applyBorder="1"/>
    <xf numFmtId="0" fontId="37" fillId="11" borderId="44" xfId="0" applyFont="1" applyFill="1" applyBorder="1" applyAlignment="1">
      <alignment horizontal="left" vertical="center" wrapText="1"/>
    </xf>
    <xf numFmtId="0" fontId="33" fillId="5" borderId="142" xfId="0" applyFont="1" applyFill="1" applyBorder="1" applyAlignment="1" applyProtection="1">
      <alignment horizontal="left" vertical="top" wrapText="1" readingOrder="1"/>
      <protection locked="0"/>
    </xf>
    <xf numFmtId="0" fontId="34" fillId="0" borderId="143" xfId="0" applyFont="1" applyBorder="1" applyAlignment="1" applyProtection="1">
      <alignment horizontal="left" vertical="top" wrapText="1"/>
      <protection locked="0"/>
    </xf>
    <xf numFmtId="0" fontId="0" fillId="0" borderId="148" xfId="0" applyFont="1" applyBorder="1"/>
    <xf numFmtId="0" fontId="36" fillId="0" borderId="144" xfId="0" applyFont="1" applyBorder="1" applyAlignment="1">
      <alignment horizontal="left"/>
    </xf>
    <xf numFmtId="49" fontId="38" fillId="26" borderId="144" xfId="0" applyNumberFormat="1" applyFont="1" applyFill="1" applyBorder="1"/>
    <xf numFmtId="49" fontId="38" fillId="0" borderId="144" xfId="0" applyNumberFormat="1" applyFont="1" applyBorder="1" applyAlignment="1">
      <alignment horizontal="left"/>
    </xf>
    <xf numFmtId="0" fontId="34" fillId="5" borderId="146" xfId="0" applyFont="1" applyFill="1" applyBorder="1" applyAlignment="1" applyProtection="1">
      <alignment horizontal="left" vertical="top" wrapText="1"/>
      <protection locked="0"/>
    </xf>
    <xf numFmtId="0" fontId="91" fillId="11" borderId="44" xfId="0" applyFont="1" applyFill="1" applyBorder="1" applyAlignment="1">
      <alignment horizontal="left" vertical="center" wrapText="1"/>
    </xf>
    <xf numFmtId="0" fontId="34" fillId="0" borderId="146" xfId="0" applyFont="1" applyBorder="1" applyAlignment="1" applyProtection="1">
      <alignment horizontal="left" vertical="top" wrapText="1"/>
      <protection locked="0"/>
    </xf>
    <xf numFmtId="0" fontId="33" fillId="5" borderId="146" xfId="0" applyFont="1" applyFill="1" applyBorder="1" applyAlignment="1" applyProtection="1">
      <alignment horizontal="left" vertical="top" wrapText="1" readingOrder="1"/>
      <protection locked="0"/>
    </xf>
    <xf numFmtId="0" fontId="41" fillId="5" borderId="146" xfId="0" applyFont="1" applyFill="1" applyBorder="1" applyAlignment="1" applyProtection="1">
      <alignment horizontal="left" vertical="top" wrapText="1"/>
      <protection locked="0"/>
    </xf>
    <xf numFmtId="0" fontId="0" fillId="0" borderId="144" xfId="0" applyFont="1" applyBorder="1"/>
    <xf numFmtId="0" fontId="42" fillId="5" borderId="142" xfId="0" applyFont="1" applyFill="1" applyBorder="1" applyAlignment="1" applyProtection="1">
      <alignment horizontal="left" vertical="top" wrapText="1" readingOrder="1"/>
      <protection locked="0"/>
    </xf>
    <xf numFmtId="0" fontId="38" fillId="12" borderId="144" xfId="0" applyFont="1" applyFill="1" applyBorder="1"/>
    <xf numFmtId="0" fontId="36" fillId="12" borderId="144" xfId="0" applyFont="1" applyFill="1" applyBorder="1" applyAlignment="1">
      <alignment horizontal="left"/>
    </xf>
    <xf numFmtId="49" fontId="38" fillId="12" borderId="144" xfId="0" applyNumberFormat="1" applyFont="1" applyFill="1" applyBorder="1" applyAlignment="1">
      <alignment horizontal="left"/>
    </xf>
    <xf numFmtId="0" fontId="38" fillId="12" borderId="148" xfId="0" applyFont="1" applyFill="1" applyBorder="1" applyAlignment="1">
      <alignment horizontal="left" vertical="top" wrapText="1"/>
    </xf>
    <xf numFmtId="0" fontId="33" fillId="12" borderId="149" xfId="0" applyFont="1" applyFill="1" applyBorder="1" applyAlignment="1" applyProtection="1">
      <alignment horizontal="left" vertical="top" wrapText="1" readingOrder="1"/>
      <protection locked="0"/>
    </xf>
    <xf numFmtId="0" fontId="43" fillId="0" borderId="150" xfId="0" applyFont="1" applyBorder="1" applyAlignment="1" applyProtection="1">
      <alignment horizontal="left" vertical="top" wrapText="1"/>
      <protection locked="0"/>
    </xf>
    <xf numFmtId="0" fontId="43" fillId="0" borderId="149" xfId="0" applyFont="1" applyBorder="1" applyAlignment="1" applyProtection="1">
      <alignment horizontal="left" vertical="top" wrapText="1"/>
      <protection locked="0"/>
    </xf>
    <xf numFmtId="0" fontId="41" fillId="0" borderId="150" xfId="0" applyFont="1" applyBorder="1" applyAlignment="1" applyProtection="1">
      <alignment horizontal="left" vertical="top" wrapText="1"/>
      <protection locked="0"/>
    </xf>
    <xf numFmtId="0" fontId="41" fillId="0" borderId="149" xfId="0" applyFont="1" applyBorder="1" applyAlignment="1" applyProtection="1">
      <alignment horizontal="left" vertical="top" wrapText="1"/>
      <protection locked="0"/>
    </xf>
    <xf numFmtId="0" fontId="34" fillId="5" borderId="149" xfId="0" applyFont="1" applyFill="1" applyBorder="1" applyAlignment="1" applyProtection="1">
      <alignment horizontal="left" vertical="top" wrapText="1"/>
      <protection locked="0"/>
    </xf>
    <xf numFmtId="12" fontId="8" fillId="24" borderId="93" xfId="0" applyNumberFormat="1" applyFont="1" applyFill="1" applyBorder="1" applyAlignment="1">
      <alignment vertical="center"/>
    </xf>
    <xf numFmtId="0" fontId="92" fillId="30" borderId="44" xfId="0" applyFont="1" applyFill="1" applyBorder="1" applyAlignment="1">
      <alignment vertical="top" wrapText="1"/>
    </xf>
    <xf numFmtId="0" fontId="41" fillId="12" borderId="44" xfId="0" applyFont="1" applyFill="1" applyBorder="1" applyAlignment="1" applyProtection="1">
      <alignment horizontal="left" vertical="top"/>
      <protection locked="0"/>
    </xf>
    <xf numFmtId="0" fontId="8" fillId="24" borderId="145" xfId="0" applyFont="1" applyFill="1" applyBorder="1" applyAlignment="1">
      <alignment vertical="center"/>
    </xf>
    <xf numFmtId="0" fontId="46" fillId="0" borderId="150" xfId="0" applyFont="1" applyBorder="1" applyAlignment="1" applyProtection="1">
      <alignment horizontal="left" vertical="top" wrapText="1"/>
      <protection locked="0"/>
    </xf>
    <xf numFmtId="0" fontId="90" fillId="11" borderId="44" xfId="0" applyFont="1" applyFill="1" applyBorder="1" applyAlignment="1">
      <alignment vertical="top" wrapText="1"/>
    </xf>
    <xf numFmtId="0" fontId="92" fillId="30" borderId="44" xfId="0" applyFont="1" applyFill="1" applyBorder="1" applyAlignment="1">
      <alignment horizontal="left" vertical="center" wrapText="1"/>
    </xf>
    <xf numFmtId="12" fontId="50" fillId="0" borderId="144" xfId="0" applyNumberFormat="1" applyFont="1" applyBorder="1" applyAlignment="1">
      <alignment horizontal="left"/>
    </xf>
    <xf numFmtId="0" fontId="0" fillId="0" borderId="151" xfId="0" applyFont="1" applyBorder="1" applyAlignment="1">
      <alignment horizontal="center"/>
    </xf>
    <xf numFmtId="0" fontId="34" fillId="0" borderId="150" xfId="0" applyFont="1" applyBorder="1" applyAlignment="1" applyProtection="1">
      <alignment horizontal="left" vertical="top" wrapText="1"/>
      <protection locked="0"/>
    </xf>
    <xf numFmtId="0" fontId="34" fillId="5" borderId="150" xfId="0" applyFont="1" applyFill="1" applyBorder="1" applyAlignment="1" applyProtection="1">
      <alignment horizontal="left" vertical="top" wrapText="1"/>
      <protection locked="0"/>
    </xf>
    <xf numFmtId="0" fontId="33" fillId="5" borderId="150" xfId="0" applyFont="1" applyFill="1" applyBorder="1" applyAlignment="1" applyProtection="1">
      <alignment horizontal="left" vertical="top" wrapText="1" readingOrder="1"/>
      <protection locked="0"/>
    </xf>
    <xf numFmtId="0" fontId="43" fillId="5" borderId="150" xfId="0" applyFont="1" applyFill="1" applyBorder="1" applyAlignment="1" applyProtection="1">
      <alignment horizontal="left" vertical="top" wrapText="1"/>
      <protection locked="0"/>
    </xf>
    <xf numFmtId="0" fontId="8" fillId="0" borderId="154" xfId="0" applyFont="1" applyBorder="1" applyAlignment="1">
      <alignment horizontal="center"/>
    </xf>
    <xf numFmtId="0" fontId="33" fillId="0" borderId="150" xfId="0" applyFont="1" applyBorder="1" applyAlignment="1" applyProtection="1">
      <alignment horizontal="left" vertical="top" wrapText="1" readingOrder="1"/>
      <protection locked="0"/>
    </xf>
    <xf numFmtId="0" fontId="50" fillId="0" borderId="154" xfId="0" applyFont="1" applyBorder="1" applyAlignment="1">
      <alignment horizontal="center"/>
    </xf>
    <xf numFmtId="0" fontId="33" fillId="5" borderId="155" xfId="0" applyFont="1" applyFill="1" applyBorder="1" applyAlignment="1" applyProtection="1">
      <alignment horizontal="left" vertical="top" wrapText="1" readingOrder="1"/>
      <protection locked="0"/>
    </xf>
    <xf numFmtId="0" fontId="38" fillId="5" borderId="144" xfId="0" applyFont="1" applyFill="1" applyBorder="1" applyAlignment="1">
      <alignment horizontal="left"/>
    </xf>
    <xf numFmtId="0" fontId="36" fillId="31" borderId="144" xfId="0" applyFont="1" applyFill="1" applyBorder="1" applyAlignment="1">
      <alignment horizontal="left"/>
    </xf>
    <xf numFmtId="0" fontId="38" fillId="32" borderId="144" xfId="0" applyFont="1" applyFill="1" applyBorder="1" applyAlignment="1">
      <alignment horizontal="left"/>
    </xf>
    <xf numFmtId="0" fontId="0" fillId="0" borderId="82" xfId="0" applyFont="1" applyBorder="1"/>
    <xf numFmtId="0" fontId="42" fillId="0" borderId="155" xfId="0" applyFont="1" applyBorder="1" applyAlignment="1" applyProtection="1">
      <alignment horizontal="left" vertical="top" wrapText="1" readingOrder="1"/>
      <protection locked="0"/>
    </xf>
    <xf numFmtId="0" fontId="8" fillId="5" borderId="149" xfId="0" applyFont="1" applyFill="1" applyBorder="1" applyAlignment="1" applyProtection="1">
      <alignment horizontal="left" vertical="top" wrapText="1"/>
      <protection locked="0"/>
    </xf>
    <xf numFmtId="0" fontId="38" fillId="0" borderId="144" xfId="0" applyFont="1" applyBorder="1" applyAlignment="1">
      <alignment horizontal="left"/>
    </xf>
    <xf numFmtId="49" fontId="38" fillId="23" borderId="144" xfId="0" applyNumberFormat="1" applyFont="1" applyFill="1" applyBorder="1"/>
    <xf numFmtId="0" fontId="38" fillId="23" borderId="144" xfId="0" applyFont="1" applyFill="1" applyBorder="1" applyAlignment="1">
      <alignment vertical="top"/>
    </xf>
    <xf numFmtId="0" fontId="93" fillId="11" borderId="44" xfId="0" applyFont="1" applyFill="1" applyBorder="1" applyAlignment="1">
      <alignment vertical="center" wrapText="1"/>
    </xf>
    <xf numFmtId="0" fontId="38" fillId="0" borderId="144" xfId="0" applyFont="1" applyBorder="1"/>
    <xf numFmtId="0" fontId="36" fillId="33" borderId="144" xfId="0" applyFont="1" applyFill="1" applyBorder="1"/>
    <xf numFmtId="0" fontId="36" fillId="34" borderId="144" xfId="0" applyFont="1" applyFill="1" applyBorder="1"/>
    <xf numFmtId="0" fontId="46" fillId="0" borderId="155" xfId="0" applyFont="1" applyBorder="1" applyAlignment="1" applyProtection="1">
      <alignment horizontal="left" vertical="top" wrapText="1" readingOrder="1"/>
      <protection locked="0"/>
    </xf>
    <xf numFmtId="0" fontId="43" fillId="0" borderId="163" xfId="0" applyFont="1" applyBorder="1" applyAlignment="1" applyProtection="1">
      <alignment horizontal="left" vertical="top" wrapText="1"/>
      <protection locked="0"/>
    </xf>
    <xf numFmtId="0" fontId="33" fillId="5" borderId="164" xfId="0" applyFont="1" applyFill="1" applyBorder="1" applyAlignment="1" applyProtection="1">
      <alignment horizontal="left" vertical="top" wrapText="1" readingOrder="1"/>
      <protection locked="0"/>
    </xf>
    <xf numFmtId="0" fontId="57" fillId="0" borderId="164" xfId="0" applyFont="1" applyBorder="1" applyAlignment="1" applyProtection="1">
      <alignment horizontal="left" vertical="top" wrapText="1"/>
      <protection locked="0"/>
    </xf>
    <xf numFmtId="0" fontId="57" fillId="0" borderId="168" xfId="0" applyFont="1" applyBorder="1" applyAlignment="1" applyProtection="1">
      <alignment horizontal="left" vertical="top" wrapText="1"/>
      <protection locked="0"/>
    </xf>
    <xf numFmtId="0" fontId="0" fillId="0" borderId="144" xfId="0" applyFont="1" applyBorder="1" applyAlignment="1">
      <alignment horizontal="left" vertical="top"/>
    </xf>
    <xf numFmtId="0" fontId="41" fillId="0" borderId="143" xfId="0" applyFont="1" applyBorder="1" applyAlignment="1" applyProtection="1">
      <alignment horizontal="left" vertical="top" wrapText="1"/>
      <protection locked="0"/>
    </xf>
    <xf numFmtId="0" fontId="43" fillId="0" borderId="146" xfId="0" applyFont="1" applyFill="1" applyBorder="1" applyAlignment="1" applyProtection="1">
      <alignment horizontal="left" vertical="top" wrapText="1"/>
      <protection locked="0"/>
    </xf>
    <xf numFmtId="0" fontId="50" fillId="5" borderId="146" xfId="0" applyFont="1" applyFill="1" applyBorder="1" applyAlignment="1" applyProtection="1">
      <alignment horizontal="center" vertical="top" wrapText="1"/>
      <protection locked="0"/>
    </xf>
    <xf numFmtId="0" fontId="41" fillId="0" borderId="146" xfId="0" applyFont="1" applyBorder="1" applyAlignment="1" applyProtection="1">
      <alignment horizontal="left" vertical="top" wrapText="1"/>
      <protection locked="0"/>
    </xf>
    <xf numFmtId="0" fontId="8" fillId="0" borderId="146" xfId="0" applyFont="1" applyBorder="1" applyAlignment="1" applyProtection="1">
      <alignment horizontal="left" vertical="top" wrapText="1"/>
      <protection locked="0"/>
    </xf>
    <xf numFmtId="0" fontId="8" fillId="0" borderId="169" xfId="0" applyFont="1" applyBorder="1" applyAlignment="1" applyProtection="1">
      <alignment horizontal="left" vertical="top" wrapText="1"/>
      <protection locked="0"/>
    </xf>
    <xf numFmtId="49" fontId="38" fillId="12" borderId="144" xfId="0" applyNumberFormat="1" applyFont="1" applyFill="1" applyBorder="1"/>
    <xf numFmtId="0" fontId="38" fillId="5" borderId="144" xfId="0" applyFont="1" applyFill="1" applyBorder="1" applyAlignment="1">
      <alignment horizontal="left" vertical="top"/>
    </xf>
    <xf numFmtId="0" fontId="37" fillId="20" borderId="151" xfId="0" applyFont="1" applyFill="1" applyBorder="1" applyAlignment="1">
      <alignment horizontal="left" vertical="top" wrapText="1"/>
    </xf>
    <xf numFmtId="0" fontId="41" fillId="30" borderId="44" xfId="0" applyFont="1" applyFill="1" applyBorder="1" applyAlignment="1" applyProtection="1">
      <alignment horizontal="left" vertical="top" wrapText="1"/>
      <protection locked="0"/>
    </xf>
    <xf numFmtId="0" fontId="40" fillId="20" borderId="155" xfId="0" applyFont="1" applyFill="1" applyBorder="1" applyAlignment="1" applyProtection="1">
      <alignment horizontal="left" vertical="top" wrapText="1"/>
      <protection locked="0"/>
    </xf>
    <xf numFmtId="0" fontId="38" fillId="11" borderId="40" xfId="0" applyFont="1" applyFill="1" applyBorder="1" applyAlignment="1">
      <alignment horizontal="left" vertical="center"/>
    </xf>
    <xf numFmtId="0" fontId="38" fillId="20" borderId="154" xfId="0" applyFont="1" applyFill="1" applyBorder="1" applyAlignment="1">
      <alignment horizontal="center" vertical="center"/>
    </xf>
    <xf numFmtId="0" fontId="8" fillId="0" borderId="142" xfId="0" applyFont="1" applyFill="1" applyBorder="1" applyAlignment="1" applyProtection="1">
      <alignment vertical="top" wrapText="1"/>
      <protection locked="0"/>
    </xf>
    <xf numFmtId="0" fontId="38" fillId="33" borderId="144" xfId="0" applyFont="1" applyFill="1" applyBorder="1"/>
    <xf numFmtId="0" fontId="40" fillId="11" borderId="155" xfId="0" applyFont="1" applyFill="1" applyBorder="1" applyAlignment="1" applyProtection="1">
      <alignment horizontal="left" vertical="top" wrapText="1"/>
      <protection locked="0"/>
    </xf>
    <xf numFmtId="0" fontId="42" fillId="0" borderId="146" xfId="0" applyFont="1" applyBorder="1" applyAlignment="1" applyProtection="1">
      <alignment horizontal="left" vertical="top" wrapText="1"/>
      <protection locked="0"/>
    </xf>
    <xf numFmtId="15" fontId="0" fillId="0" borderId="144" xfId="0" applyNumberFormat="1" applyBorder="1" applyAlignment="1">
      <alignment horizontal="center" vertical="center"/>
    </xf>
    <xf numFmtId="0" fontId="19" fillId="0" borderId="44" xfId="0" applyFont="1" applyBorder="1" applyAlignment="1">
      <alignment wrapText="1"/>
    </xf>
    <xf numFmtId="0" fontId="0" fillId="5" borderId="44" xfId="0" applyFont="1" applyFill="1" applyBorder="1" applyAlignment="1">
      <alignment wrapText="1"/>
    </xf>
    <xf numFmtId="9" fontId="0" fillId="5" borderId="4" xfId="3" applyFont="1" applyFill="1" applyBorder="1" applyAlignment="1">
      <alignment horizontal="center"/>
    </xf>
    <xf numFmtId="9" fontId="0" fillId="5" borderId="2" xfId="3" applyFont="1" applyFill="1" applyBorder="1" applyAlignment="1">
      <alignment horizontal="center"/>
    </xf>
    <xf numFmtId="0" fontId="0" fillId="0" borderId="5" xfId="0" applyBorder="1" applyAlignment="1">
      <alignment horizontal="center"/>
    </xf>
    <xf numFmtId="0" fontId="0" fillId="0" borderId="2" xfId="0" applyBorder="1" applyAlignment="1">
      <alignment horizontal="center"/>
    </xf>
    <xf numFmtId="0" fontId="2" fillId="3" borderId="4" xfId="0" applyFont="1" applyFill="1" applyBorder="1" applyAlignment="1">
      <alignment horizontal="center"/>
    </xf>
    <xf numFmtId="0" fontId="2" fillId="3" borderId="5" xfId="0" applyFont="1" applyFill="1" applyBorder="1" applyAlignment="1">
      <alignment horizontal="center"/>
    </xf>
    <xf numFmtId="0" fontId="2" fillId="3" borderId="2" xfId="0" applyFont="1" applyFill="1" applyBorder="1" applyAlignment="1">
      <alignment horizontal="center"/>
    </xf>
    <xf numFmtId="0" fontId="2" fillId="2" borderId="1"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5" fillId="3" borderId="2" xfId="0" applyFont="1" applyFill="1" applyBorder="1" applyAlignment="1">
      <alignment horizontal="center"/>
    </xf>
    <xf numFmtId="0" fontId="5" fillId="3" borderId="1" xfId="0" applyFont="1" applyFill="1" applyBorder="1" applyAlignment="1">
      <alignment horizontal="center"/>
    </xf>
    <xf numFmtId="0" fontId="0" fillId="0" borderId="1" xfId="0" applyBorder="1" applyAlignment="1">
      <alignment horizontal="left" wrapText="1"/>
    </xf>
    <xf numFmtId="0" fontId="0" fillId="0" borderId="1" xfId="0" applyBorder="1" applyAlignment="1">
      <alignment horizontal="left" vertical="top" wrapText="1"/>
    </xf>
    <xf numFmtId="0" fontId="0" fillId="0" borderId="1" xfId="0" applyBorder="1" applyAlignment="1">
      <alignment horizontal="left"/>
    </xf>
    <xf numFmtId="0" fontId="0" fillId="0" borderId="7" xfId="0" applyBorder="1" applyAlignment="1">
      <alignment horizontal="left" wrapText="1"/>
    </xf>
    <xf numFmtId="0" fontId="0" fillId="0" borderId="6" xfId="0" applyBorder="1" applyAlignment="1">
      <alignment horizontal="left" wrapText="1"/>
    </xf>
    <xf numFmtId="0" fontId="0" fillId="0" borderId="8" xfId="0" applyBorder="1" applyAlignment="1">
      <alignment horizontal="left"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2" xfId="0" applyBorder="1" applyAlignment="1">
      <alignment horizontal="left" vertical="center" wrapText="1"/>
    </xf>
    <xf numFmtId="0" fontId="0" fillId="0" borderId="4" xfId="0" applyBorder="1" applyAlignment="1">
      <alignment horizontal="left"/>
    </xf>
    <xf numFmtId="0" fontId="0" fillId="0" borderId="5" xfId="0" applyBorder="1" applyAlignment="1">
      <alignment horizontal="left"/>
    </xf>
    <xf numFmtId="0" fontId="0" fillId="0" borderId="2" xfId="0" applyBorder="1" applyAlignment="1">
      <alignment horizontal="left"/>
    </xf>
    <xf numFmtId="0" fontId="5" fillId="2" borderId="1" xfId="0" applyFont="1" applyFill="1" applyBorder="1" applyAlignment="1">
      <alignment horizontal="center"/>
    </xf>
    <xf numFmtId="0" fontId="0" fillId="0" borderId="15" xfId="0" applyBorder="1" applyAlignment="1">
      <alignment horizontal="left"/>
    </xf>
    <xf numFmtId="0" fontId="0" fillId="0" borderId="18" xfId="0" applyBorder="1" applyAlignment="1">
      <alignment horizontal="left"/>
    </xf>
    <xf numFmtId="0" fontId="0" fillId="0" borderId="19" xfId="0" applyBorder="1" applyAlignment="1">
      <alignment horizontal="left"/>
    </xf>
    <xf numFmtId="0" fontId="0" fillId="0" borderId="4" xfId="0" applyBorder="1" applyAlignment="1">
      <alignment horizontal="left" wrapText="1"/>
    </xf>
    <xf numFmtId="0" fontId="0" fillId="0" borderId="5" xfId="0" applyBorder="1" applyAlignment="1">
      <alignment horizontal="left" wrapText="1"/>
    </xf>
    <xf numFmtId="0" fontId="0" fillId="0" borderId="2" xfId="0" applyBorder="1" applyAlignment="1">
      <alignment horizontal="left" wrapText="1"/>
    </xf>
    <xf numFmtId="164" fontId="0" fillId="0" borderId="15" xfId="0" applyNumberFormat="1" applyBorder="1" applyAlignment="1">
      <alignment horizontal="center"/>
    </xf>
    <xf numFmtId="164" fontId="0" fillId="0" borderId="18" xfId="0" applyNumberFormat="1" applyBorder="1" applyAlignment="1">
      <alignment horizontal="center"/>
    </xf>
    <xf numFmtId="164" fontId="0" fillId="0" borderId="19" xfId="0" applyNumberFormat="1" applyBorder="1" applyAlignment="1">
      <alignment horizontal="center"/>
    </xf>
    <xf numFmtId="0" fontId="0" fillId="0" borderId="46" xfId="0" applyBorder="1" applyAlignment="1">
      <alignment horizontal="center"/>
    </xf>
    <xf numFmtId="0" fontId="0" fillId="0" borderId="88" xfId="0" applyBorder="1" applyAlignment="1">
      <alignment horizontal="center"/>
    </xf>
    <xf numFmtId="0" fontId="0" fillId="0" borderId="96" xfId="0" applyBorder="1" applyAlignment="1">
      <alignment horizontal="center"/>
    </xf>
    <xf numFmtId="0" fontId="16" fillId="0" borderId="44" xfId="0" applyFont="1" applyBorder="1" applyAlignment="1">
      <alignment horizontal="center"/>
    </xf>
    <xf numFmtId="0" fontId="0" fillId="0" borderId="44" xfId="0" applyBorder="1" applyAlignment="1">
      <alignment horizontal="center"/>
    </xf>
    <xf numFmtId="9" fontId="4" fillId="0" borderId="44" xfId="0" applyNumberFormat="1" applyFont="1" applyBorder="1" applyAlignment="1">
      <alignment horizontal="center"/>
    </xf>
    <xf numFmtId="9" fontId="0" fillId="0" borderId="44" xfId="0" applyNumberFormat="1" applyBorder="1" applyAlignment="1">
      <alignment horizontal="center"/>
    </xf>
    <xf numFmtId="9" fontId="0" fillId="0" borderId="46" xfId="0" applyNumberFormat="1" applyBorder="1" applyAlignment="1">
      <alignment horizontal="center"/>
    </xf>
    <xf numFmtId="0" fontId="5" fillId="37" borderId="100" xfId="0" applyFont="1" applyFill="1" applyBorder="1" applyAlignment="1">
      <alignment horizontal="center" vertical="center" wrapText="1"/>
    </xf>
    <xf numFmtId="0" fontId="5" fillId="37" borderId="57" xfId="0" applyFont="1" applyFill="1" applyBorder="1" applyAlignment="1">
      <alignment horizontal="center" vertical="center" wrapText="1"/>
    </xf>
    <xf numFmtId="0" fontId="5" fillId="37" borderId="101" xfId="0" applyFont="1" applyFill="1" applyBorder="1" applyAlignment="1">
      <alignment horizontal="center" vertical="center" wrapText="1"/>
    </xf>
    <xf numFmtId="0" fontId="60" fillId="0" borderId="0" xfId="0" applyFont="1" applyAlignment="1">
      <alignment horizontal="center"/>
    </xf>
    <xf numFmtId="0" fontId="5" fillId="37" borderId="22" xfId="0" applyFont="1" applyFill="1" applyBorder="1" applyAlignment="1">
      <alignment horizontal="center" vertical="center" wrapText="1"/>
    </xf>
    <xf numFmtId="0" fontId="5" fillId="37" borderId="95" xfId="0" applyFont="1" applyFill="1" applyBorder="1" applyAlignment="1">
      <alignment horizontal="center" vertical="center" wrapText="1"/>
    </xf>
    <xf numFmtId="9" fontId="0" fillId="0" borderId="44" xfId="0" applyNumberFormat="1" applyBorder="1" applyAlignment="1">
      <alignment horizontal="center" wrapText="1"/>
    </xf>
    <xf numFmtId="9" fontId="0" fillId="0" borderId="46" xfId="0" applyNumberFormat="1" applyBorder="1" applyAlignment="1">
      <alignment horizontal="center" wrapText="1"/>
    </xf>
    <xf numFmtId="0" fontId="82" fillId="0" borderId="123" xfId="0" applyFont="1" applyBorder="1" applyAlignment="1">
      <alignment horizontal="center" vertical="center" wrapText="1"/>
    </xf>
    <xf numFmtId="166" fontId="3" fillId="0" borderId="119" xfId="0" applyNumberFormat="1" applyFont="1" applyBorder="1" applyAlignment="1">
      <alignment horizontal="center" vertical="center"/>
    </xf>
    <xf numFmtId="166" fontId="3" fillId="0" borderId="120" xfId="0" applyNumberFormat="1" applyFont="1" applyBorder="1" applyAlignment="1">
      <alignment horizontal="center" vertical="center"/>
    </xf>
    <xf numFmtId="166" fontId="3" fillId="0" borderId="121" xfId="0" applyNumberFormat="1" applyFont="1" applyBorder="1" applyAlignment="1">
      <alignment horizontal="center" vertical="center"/>
    </xf>
    <xf numFmtId="0" fontId="82" fillId="0" borderId="122" xfId="0" applyFont="1" applyBorder="1" applyAlignment="1">
      <alignment horizontal="center" vertical="center" wrapText="1"/>
    </xf>
    <xf numFmtId="0" fontId="82" fillId="0" borderId="121" xfId="0" applyFont="1" applyBorder="1" applyAlignment="1">
      <alignment horizontal="center" vertical="center" wrapText="1"/>
    </xf>
    <xf numFmtId="20" fontId="82" fillId="0" borderId="123" xfId="0" applyNumberFormat="1" applyFont="1" applyBorder="1" applyAlignment="1">
      <alignment horizontal="center" vertical="center" wrapText="1"/>
    </xf>
    <xf numFmtId="166" fontId="3" fillId="41" borderId="119" xfId="0" applyNumberFormat="1" applyFont="1" applyFill="1" applyBorder="1" applyAlignment="1">
      <alignment horizontal="center" vertical="center"/>
    </xf>
    <xf numFmtId="166" fontId="3" fillId="41" borderId="120" xfId="0" applyNumberFormat="1" applyFont="1" applyFill="1" applyBorder="1" applyAlignment="1">
      <alignment horizontal="center" vertical="center"/>
    </xf>
    <xf numFmtId="166" fontId="3" fillId="41" borderId="121" xfId="0" applyNumberFormat="1" applyFont="1" applyFill="1" applyBorder="1" applyAlignment="1">
      <alignment horizontal="center" vertical="center"/>
    </xf>
    <xf numFmtId="0" fontId="82" fillId="42" borderId="122" xfId="0" applyFont="1" applyFill="1" applyBorder="1" applyAlignment="1">
      <alignment horizontal="center" vertical="center" wrapText="1"/>
    </xf>
    <xf numFmtId="0" fontId="82" fillId="42" borderId="121" xfId="0" applyFont="1" applyFill="1" applyBorder="1" applyAlignment="1">
      <alignment horizontal="center" vertical="center" wrapText="1"/>
    </xf>
    <xf numFmtId="20" fontId="82" fillId="42" borderId="122" xfId="0" applyNumberFormat="1" applyFont="1" applyFill="1" applyBorder="1" applyAlignment="1">
      <alignment horizontal="center" vertical="center" wrapText="1"/>
    </xf>
    <xf numFmtId="20" fontId="82" fillId="42" borderId="121" xfId="0" applyNumberFormat="1" applyFont="1" applyFill="1" applyBorder="1" applyAlignment="1">
      <alignment horizontal="center" vertical="center" wrapText="1"/>
    </xf>
    <xf numFmtId="0" fontId="82" fillId="41" borderId="122" xfId="0" applyFont="1" applyFill="1" applyBorder="1" applyAlignment="1">
      <alignment horizontal="center" vertical="center" wrapText="1"/>
    </xf>
    <xf numFmtId="0" fontId="82" fillId="41" borderId="121" xfId="0" applyFont="1" applyFill="1" applyBorder="1" applyAlignment="1">
      <alignment horizontal="center" vertical="center" wrapText="1"/>
    </xf>
    <xf numFmtId="20" fontId="82" fillId="41" borderId="123" xfId="0" applyNumberFormat="1" applyFont="1" applyFill="1" applyBorder="1" applyAlignment="1">
      <alignment horizontal="center" vertical="center" wrapText="1"/>
    </xf>
    <xf numFmtId="0" fontId="82" fillId="41" borderId="123" xfId="0" applyFont="1" applyFill="1" applyBorder="1" applyAlignment="1">
      <alignment horizontal="center" vertical="center" wrapText="1"/>
    </xf>
    <xf numFmtId="20" fontId="82" fillId="0" borderId="122" xfId="0" applyNumberFormat="1" applyFont="1" applyBorder="1" applyAlignment="1">
      <alignment horizontal="center" vertical="center" wrapText="1"/>
    </xf>
    <xf numFmtId="20" fontId="82" fillId="0" borderId="121" xfId="0" applyNumberFormat="1" applyFont="1" applyBorder="1" applyAlignment="1">
      <alignment horizontal="center" vertical="center" wrapText="1"/>
    </xf>
    <xf numFmtId="0" fontId="82" fillId="42" borderId="123" xfId="0" applyFont="1" applyFill="1" applyBorder="1" applyAlignment="1">
      <alignment horizontal="center" vertical="center" wrapText="1"/>
    </xf>
    <xf numFmtId="0" fontId="82" fillId="0" borderId="130" xfId="0" applyFont="1" applyBorder="1" applyAlignment="1">
      <alignment horizontal="center" vertical="center" wrapText="1"/>
    </xf>
    <xf numFmtId="0" fontId="82" fillId="0" borderId="131" xfId="0" applyFont="1" applyBorder="1" applyAlignment="1">
      <alignment horizontal="center" vertical="center" wrapText="1"/>
    </xf>
    <xf numFmtId="166" fontId="3" fillId="41" borderId="129" xfId="0" applyNumberFormat="1" applyFont="1" applyFill="1" applyBorder="1" applyAlignment="1">
      <alignment horizontal="center" vertical="center"/>
    </xf>
    <xf numFmtId="166" fontId="3" fillId="41" borderId="123" xfId="0" applyNumberFormat="1" applyFont="1" applyFill="1" applyBorder="1" applyAlignment="1">
      <alignment horizontal="center" vertical="center"/>
    </xf>
    <xf numFmtId="0" fontId="82" fillId="41" borderId="130" xfId="0" applyFont="1" applyFill="1" applyBorder="1" applyAlignment="1">
      <alignment horizontal="center" vertical="center" wrapText="1"/>
    </xf>
    <xf numFmtId="0" fontId="82" fillId="41" borderId="131" xfId="0" applyFont="1" applyFill="1" applyBorder="1" applyAlignment="1">
      <alignment horizontal="center" vertical="center" wrapText="1"/>
    </xf>
    <xf numFmtId="22" fontId="82" fillId="42" borderId="122" xfId="0" applyNumberFormat="1" applyFont="1" applyFill="1" applyBorder="1" applyAlignment="1">
      <alignment horizontal="center" vertical="center" wrapText="1"/>
    </xf>
    <xf numFmtId="0" fontId="84" fillId="27" borderId="105" xfId="0" applyFont="1" applyFill="1" applyBorder="1" applyAlignment="1">
      <alignment horizontal="center" vertical="center"/>
    </xf>
    <xf numFmtId="0" fontId="84" fillId="27" borderId="106" xfId="0" applyFont="1" applyFill="1" applyBorder="1" applyAlignment="1">
      <alignment horizontal="center" vertical="center"/>
    </xf>
    <xf numFmtId="0" fontId="12" fillId="0" borderId="0" xfId="0" applyFont="1" applyAlignment="1">
      <alignment horizontal="center"/>
    </xf>
    <xf numFmtId="165" fontId="18" fillId="2" borderId="0" xfId="0" applyNumberFormat="1" applyFont="1" applyFill="1" applyAlignment="1">
      <alignment horizontal="center"/>
    </xf>
    <xf numFmtId="0" fontId="85" fillId="0" borderId="0" xfId="0" applyFont="1" applyAlignment="1">
      <alignment vertical="center"/>
    </xf>
    <xf numFmtId="0" fontId="11" fillId="2" borderId="28" xfId="0" applyFont="1" applyFill="1" applyBorder="1" applyAlignment="1">
      <alignment horizontal="center"/>
    </xf>
    <xf numFmtId="0" fontId="30" fillId="41" borderId="107" xfId="0" applyFont="1" applyFill="1" applyBorder="1" applyAlignment="1">
      <alignment horizontal="center" vertical="center"/>
    </xf>
    <xf numFmtId="0" fontId="30" fillId="41" borderId="108" xfId="0" applyFont="1" applyFill="1" applyBorder="1" applyAlignment="1">
      <alignment horizontal="center" vertical="center"/>
    </xf>
    <xf numFmtId="0" fontId="30" fillId="41" borderId="57" xfId="0" applyFont="1" applyFill="1" applyBorder="1" applyAlignment="1">
      <alignment horizontal="center" vertical="center"/>
    </xf>
    <xf numFmtId="0" fontId="30" fillId="41" borderId="58" xfId="0" applyFont="1" applyFill="1" applyBorder="1" applyAlignment="1">
      <alignment horizontal="center" vertical="center"/>
    </xf>
    <xf numFmtId="0" fontId="30" fillId="41" borderId="11" xfId="0" applyFont="1" applyFill="1" applyBorder="1" applyAlignment="1">
      <alignment horizontal="center" vertical="center"/>
    </xf>
    <xf numFmtId="0" fontId="30" fillId="41" borderId="50" xfId="0" applyFont="1" applyFill="1" applyBorder="1" applyAlignment="1">
      <alignment horizontal="center" vertical="center"/>
    </xf>
    <xf numFmtId="0" fontId="30" fillId="41" borderId="51" xfId="0" applyFont="1" applyFill="1" applyBorder="1" applyAlignment="1">
      <alignment horizontal="center" vertical="center"/>
    </xf>
    <xf numFmtId="9" fontId="30" fillId="11" borderId="57" xfId="0" applyNumberFormat="1" applyFont="1" applyFill="1" applyBorder="1" applyAlignment="1">
      <alignment horizontal="center" vertical="center" wrapText="1"/>
    </xf>
    <xf numFmtId="9" fontId="30" fillId="11" borderId="116" xfId="0" applyNumberFormat="1" applyFont="1" applyFill="1" applyBorder="1" applyAlignment="1">
      <alignment horizontal="center" vertical="center" wrapText="1"/>
    </xf>
    <xf numFmtId="9" fontId="30" fillId="11" borderId="111" xfId="0" applyNumberFormat="1" applyFont="1" applyFill="1" applyBorder="1" applyAlignment="1">
      <alignment horizontal="center" vertical="center" wrapText="1"/>
    </xf>
    <xf numFmtId="9" fontId="30" fillId="11" borderId="118" xfId="0" applyNumberFormat="1" applyFont="1" applyFill="1" applyBorder="1" applyAlignment="1">
      <alignment horizontal="center" vertical="center" wrapText="1"/>
    </xf>
    <xf numFmtId="0" fontId="86" fillId="2" borderId="109" xfId="0" applyFont="1" applyFill="1" applyBorder="1" applyAlignment="1">
      <alignment horizontal="center" vertical="center" wrapText="1"/>
    </xf>
    <xf numFmtId="0" fontId="86" fillId="2" borderId="110" xfId="0" applyFont="1" applyFill="1" applyBorder="1" applyAlignment="1">
      <alignment horizontal="center" vertical="center" wrapText="1"/>
    </xf>
    <xf numFmtId="0" fontId="86" fillId="2" borderId="112" xfId="0" applyFont="1" applyFill="1" applyBorder="1" applyAlignment="1">
      <alignment horizontal="center" vertical="center" wrapText="1"/>
    </xf>
    <xf numFmtId="0" fontId="86" fillId="2" borderId="113" xfId="0" applyFont="1" applyFill="1" applyBorder="1" applyAlignment="1">
      <alignment horizontal="center" vertical="center" wrapText="1"/>
    </xf>
    <xf numFmtId="0" fontId="86" fillId="2" borderId="114" xfId="0" applyFont="1" applyFill="1" applyBorder="1" applyAlignment="1">
      <alignment horizontal="center" vertical="center" wrapText="1"/>
    </xf>
    <xf numFmtId="0" fontId="86" fillId="2" borderId="115" xfId="0" applyFont="1" applyFill="1" applyBorder="1" applyAlignment="1">
      <alignment horizontal="center" vertical="center" wrapText="1"/>
    </xf>
    <xf numFmtId="0" fontId="86" fillId="2" borderId="116"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51" xfId="0" applyFont="1" applyFill="1" applyBorder="1" applyAlignment="1">
      <alignment horizontal="center" vertical="center" wrapText="1"/>
    </xf>
    <xf numFmtId="0" fontId="11" fillId="2" borderId="23" xfId="0" applyFont="1" applyFill="1" applyBorder="1" applyAlignment="1">
      <alignment horizontal="center" vertical="center"/>
    </xf>
    <xf numFmtId="0" fontId="11" fillId="2" borderId="24" xfId="0" applyFont="1" applyFill="1" applyBorder="1" applyAlignment="1">
      <alignment horizontal="center" vertical="center"/>
    </xf>
    <xf numFmtId="0" fontId="11" fillId="2" borderId="12" xfId="0" applyFont="1" applyFill="1" applyBorder="1" applyAlignment="1">
      <alignment horizontal="center" vertical="center"/>
    </xf>
    <xf numFmtId="0" fontId="11" fillId="2" borderId="26" xfId="0" applyFont="1" applyFill="1" applyBorder="1" applyAlignment="1">
      <alignment horizontal="center" vertical="center"/>
    </xf>
    <xf numFmtId="0" fontId="11" fillId="2" borderId="27" xfId="0" applyFont="1" applyFill="1" applyBorder="1" applyAlignment="1">
      <alignment horizontal="center" vertical="center"/>
    </xf>
    <xf numFmtId="0" fontId="11" fillId="2" borderId="0" xfId="0" applyFont="1" applyFill="1" applyAlignment="1">
      <alignment horizontal="center" wrapText="1"/>
    </xf>
    <xf numFmtId="0" fontId="11" fillId="2" borderId="20" xfId="0" applyFont="1" applyFill="1" applyBorder="1" applyAlignment="1">
      <alignment horizontal="center" vertical="center"/>
    </xf>
    <xf numFmtId="0" fontId="11" fillId="2" borderId="13" xfId="0" applyFont="1" applyFill="1" applyBorder="1" applyAlignment="1">
      <alignment horizontal="center" vertical="center"/>
    </xf>
    <xf numFmtId="0" fontId="59" fillId="18" borderId="11" xfId="0" applyFont="1" applyFill="1" applyBorder="1" applyAlignment="1" applyProtection="1">
      <alignment horizontal="center" vertical="top" wrapText="1"/>
      <protection locked="0"/>
    </xf>
    <xf numFmtId="0" fontId="59" fillId="18" borderId="50" xfId="0" applyFont="1" applyFill="1" applyBorder="1" applyAlignment="1" applyProtection="1">
      <alignment horizontal="center" vertical="top" wrapText="1"/>
      <protection locked="0"/>
    </xf>
    <xf numFmtId="0" fontId="59" fillId="18" borderId="79" xfId="0" applyFont="1" applyFill="1" applyBorder="1" applyAlignment="1" applyProtection="1">
      <alignment horizontal="center" vertical="top" wrapText="1"/>
      <protection locked="0"/>
    </xf>
    <xf numFmtId="0" fontId="50" fillId="0" borderId="159" xfId="0" applyFont="1" applyBorder="1" applyAlignment="1">
      <alignment horizontal="center"/>
    </xf>
    <xf numFmtId="0" fontId="50" fillId="0" borderId="6" xfId="0" applyFont="1" applyBorder="1" applyAlignment="1">
      <alignment horizontal="center"/>
    </xf>
    <xf numFmtId="0" fontId="50" fillId="0" borderId="160" xfId="0" applyFont="1" applyBorder="1" applyAlignment="1">
      <alignment horizontal="center"/>
    </xf>
    <xf numFmtId="0" fontId="5" fillId="20" borderId="11" xfId="0" applyFont="1" applyFill="1" applyBorder="1" applyAlignment="1">
      <alignment horizontal="center"/>
    </xf>
    <xf numFmtId="0" fontId="5" fillId="20" borderId="50" xfId="0" applyFont="1" applyFill="1" applyBorder="1" applyAlignment="1">
      <alignment horizontal="center"/>
    </xf>
    <xf numFmtId="0" fontId="5" fillId="20" borderId="51" xfId="0" applyFont="1" applyFill="1" applyBorder="1" applyAlignment="1">
      <alignment horizontal="center"/>
    </xf>
    <xf numFmtId="0" fontId="56" fillId="18" borderId="11" xfId="0" applyFont="1" applyFill="1" applyBorder="1" applyAlignment="1">
      <alignment horizontal="center"/>
    </xf>
    <xf numFmtId="0" fontId="38" fillId="18" borderId="50" xfId="0" applyFont="1" applyFill="1" applyBorder="1" applyAlignment="1">
      <alignment horizontal="center"/>
    </xf>
    <xf numFmtId="0" fontId="38" fillId="18" borderId="51" xfId="0" applyFont="1" applyFill="1" applyBorder="1" applyAlignment="1">
      <alignment horizontal="center"/>
    </xf>
    <xf numFmtId="0" fontId="34" fillId="0" borderId="161" xfId="0" applyFont="1" applyBorder="1" applyAlignment="1" applyProtection="1">
      <alignment horizontal="center" vertical="top" wrapText="1"/>
      <protection locked="0"/>
    </xf>
    <xf numFmtId="0" fontId="34" fillId="0" borderId="155" xfId="0" applyFont="1" applyBorder="1" applyAlignment="1" applyProtection="1">
      <alignment horizontal="center" vertical="top" wrapText="1"/>
      <protection locked="0"/>
    </xf>
    <xf numFmtId="0" fontId="34" fillId="0" borderId="162" xfId="0" applyFont="1" applyBorder="1" applyAlignment="1" applyProtection="1">
      <alignment horizontal="center" vertical="top" wrapText="1"/>
      <protection locked="0"/>
    </xf>
    <xf numFmtId="0" fontId="43" fillId="0" borderId="161" xfId="0" applyFont="1" applyBorder="1" applyAlignment="1" applyProtection="1">
      <alignment horizontal="center" vertical="top" wrapText="1"/>
      <protection locked="0"/>
    </xf>
    <xf numFmtId="0" fontId="43" fillId="0" borderId="155" xfId="0" applyFont="1" applyBorder="1" applyAlignment="1" applyProtection="1">
      <alignment horizontal="center" vertical="top" wrapText="1"/>
      <protection locked="0"/>
    </xf>
    <xf numFmtId="0" fontId="43" fillId="0" borderId="162" xfId="0" applyFont="1" applyBorder="1" applyAlignment="1" applyProtection="1">
      <alignment horizontal="center" vertical="top" wrapText="1"/>
      <protection locked="0"/>
    </xf>
    <xf numFmtId="0" fontId="57" fillId="0" borderId="165" xfId="0" applyFont="1" applyBorder="1" applyAlignment="1" applyProtection="1">
      <alignment horizontal="center" vertical="top" wrapText="1"/>
      <protection locked="0"/>
    </xf>
    <xf numFmtId="0" fontId="57" fillId="0" borderId="166" xfId="0" applyFont="1" applyBorder="1" applyAlignment="1" applyProtection="1">
      <alignment horizontal="center" vertical="top" wrapText="1"/>
      <protection locked="0"/>
    </xf>
    <xf numFmtId="0" fontId="57" fillId="0" borderId="167" xfId="0" applyFont="1" applyBorder="1" applyAlignment="1" applyProtection="1">
      <alignment horizontal="center" vertical="top" wrapText="1"/>
      <protection locked="0"/>
    </xf>
    <xf numFmtId="0" fontId="50" fillId="0" borderId="73" xfId="0" applyFont="1" applyBorder="1" applyAlignment="1">
      <alignment horizontal="left"/>
    </xf>
    <xf numFmtId="0" fontId="50" fillId="0" borderId="38" xfId="0" applyFont="1" applyBorder="1" applyAlignment="1">
      <alignment horizontal="left"/>
    </xf>
    <xf numFmtId="0" fontId="50" fillId="0" borderId="158" xfId="0" applyFont="1" applyBorder="1" applyAlignment="1">
      <alignment horizontal="left"/>
    </xf>
    <xf numFmtId="0" fontId="47" fillId="0" borderId="40" xfId="0" applyFont="1" applyBorder="1" applyAlignment="1">
      <alignment horizontal="center" vertical="center"/>
    </xf>
    <xf numFmtId="0" fontId="47" fillId="0" borderId="153" xfId="0" applyFont="1" applyBorder="1" applyAlignment="1">
      <alignment horizontal="center" vertical="center"/>
    </xf>
    <xf numFmtId="49" fontId="3" fillId="0" borderId="66" xfId="0" applyNumberFormat="1" applyFont="1" applyBorder="1" applyAlignment="1">
      <alignment horizontal="center"/>
    </xf>
    <xf numFmtId="49" fontId="3" fillId="0" borderId="67" xfId="0" applyNumberFormat="1" applyFont="1" applyBorder="1" applyAlignment="1">
      <alignment horizontal="center"/>
    </xf>
    <xf numFmtId="49" fontId="3" fillId="5" borderId="68" xfId="0" applyNumberFormat="1" applyFont="1" applyFill="1" applyBorder="1" applyAlignment="1">
      <alignment horizontal="center"/>
    </xf>
    <xf numFmtId="49" fontId="3" fillId="5" borderId="69" xfId="0" applyNumberFormat="1" applyFont="1" applyFill="1" applyBorder="1" applyAlignment="1">
      <alignment horizontal="center"/>
    </xf>
    <xf numFmtId="0" fontId="39" fillId="18" borderId="11" xfId="0" applyFont="1" applyFill="1" applyBorder="1" applyAlignment="1">
      <alignment horizontal="center"/>
    </xf>
    <xf numFmtId="0" fontId="36" fillId="18" borderId="50" xfId="0" applyFont="1" applyFill="1" applyBorder="1" applyAlignment="1">
      <alignment horizontal="center"/>
    </xf>
    <xf numFmtId="0" fontId="36" fillId="18" borderId="51" xfId="0" applyFont="1" applyFill="1" applyBorder="1" applyAlignment="1">
      <alignment horizontal="center"/>
    </xf>
    <xf numFmtId="0" fontId="52" fillId="0" borderId="11" xfId="0" applyFont="1" applyBorder="1" applyAlignment="1">
      <alignment horizontal="center" vertical="center"/>
    </xf>
    <xf numFmtId="0" fontId="52" fillId="0" borderId="50" xfId="0" applyFont="1" applyBorder="1" applyAlignment="1">
      <alignment horizontal="center" vertical="center"/>
    </xf>
    <xf numFmtId="0" fontId="52" fillId="0" borderId="51" xfId="0" applyFont="1" applyBorder="1" applyAlignment="1">
      <alignment horizontal="center" vertical="center"/>
    </xf>
    <xf numFmtId="0" fontId="50" fillId="0" borderId="70" xfId="0" applyFont="1" applyBorder="1" applyAlignment="1">
      <alignment horizontal="left" wrapText="1"/>
    </xf>
    <xf numFmtId="0" fontId="50" fillId="0" borderId="145" xfId="0" applyFont="1" applyBorder="1" applyAlignment="1">
      <alignment horizontal="left" wrapText="1"/>
    </xf>
    <xf numFmtId="0" fontId="50" fillId="0" borderId="156" xfId="0" applyFont="1" applyBorder="1" applyAlignment="1">
      <alignment horizontal="left" wrapText="1"/>
    </xf>
    <xf numFmtId="0" fontId="50" fillId="0" borderId="13" xfId="0" applyFont="1" applyBorder="1" applyAlignment="1">
      <alignment horizontal="left" wrapText="1"/>
    </xf>
    <xf numFmtId="0" fontId="54" fillId="0" borderId="44" xfId="0" applyFont="1" applyBorder="1" applyAlignment="1">
      <alignment horizontal="left" wrapText="1"/>
    </xf>
    <xf numFmtId="0" fontId="54" fillId="0" borderId="52" xfId="0" applyFont="1" applyBorder="1" applyAlignment="1">
      <alignment horizontal="left" wrapText="1"/>
    </xf>
    <xf numFmtId="0" fontId="55" fillId="0" borderId="36" xfId="0" applyFont="1" applyBorder="1" applyAlignment="1">
      <alignment horizontal="center"/>
    </xf>
    <xf numFmtId="0" fontId="54" fillId="0" borderId="25" xfId="0" applyFont="1" applyBorder="1" applyAlignment="1">
      <alignment horizontal="center"/>
    </xf>
    <xf numFmtId="0" fontId="54" fillId="0" borderId="157" xfId="0" applyFont="1" applyBorder="1" applyAlignment="1">
      <alignment horizontal="center"/>
    </xf>
    <xf numFmtId="0" fontId="54" fillId="0" borderId="10" xfId="0" applyFont="1" applyBorder="1" applyAlignment="1">
      <alignment horizontal="center"/>
    </xf>
    <xf numFmtId="0" fontId="54" fillId="0" borderId="71" xfId="0" applyFont="1" applyBorder="1" applyAlignment="1">
      <alignment horizontal="center"/>
    </xf>
    <xf numFmtId="0" fontId="54" fillId="0" borderId="72" xfId="0" applyFont="1" applyBorder="1" applyAlignment="1">
      <alignment horizontal="center"/>
    </xf>
    <xf numFmtId="49" fontId="3" fillId="5" borderId="40" xfId="0" applyNumberFormat="1" applyFont="1" applyFill="1" applyBorder="1" applyAlignment="1">
      <alignment horizontal="center"/>
    </xf>
    <xf numFmtId="49" fontId="3" fillId="5" borderId="153" xfId="0" applyNumberFormat="1" applyFont="1" applyFill="1" applyBorder="1" applyAlignment="1">
      <alignment horizontal="center"/>
    </xf>
    <xf numFmtId="0" fontId="5" fillId="5" borderId="40" xfId="0" applyFont="1" applyFill="1" applyBorder="1" applyAlignment="1">
      <alignment horizontal="center"/>
    </xf>
    <xf numFmtId="0" fontId="5" fillId="5" borderId="43" xfId="0" applyFont="1" applyFill="1" applyBorder="1" applyAlignment="1">
      <alignment horizontal="center"/>
    </xf>
    <xf numFmtId="0" fontId="0" fillId="0" borderId="44" xfId="0" applyBorder="1" applyAlignment="1">
      <alignment horizontal="center" vertical="top" wrapText="1"/>
    </xf>
    <xf numFmtId="0" fontId="0" fillId="0" borderId="44" xfId="0" applyBorder="1" applyAlignment="1">
      <alignment horizontal="center" vertical="top"/>
    </xf>
    <xf numFmtId="0" fontId="0" fillId="0" borderId="44" xfId="0" applyBorder="1" applyAlignment="1">
      <alignment horizontal="center" vertical="center"/>
    </xf>
    <xf numFmtId="0" fontId="0" fillId="5" borderId="28" xfId="0" applyFont="1" applyFill="1" applyBorder="1" applyAlignment="1">
      <alignment horizontal="center"/>
    </xf>
    <xf numFmtId="0" fontId="0" fillId="5" borderId="65" xfId="0" applyFont="1" applyFill="1" applyBorder="1" applyAlignment="1">
      <alignment horizontal="center"/>
    </xf>
    <xf numFmtId="0" fontId="49" fillId="23" borderId="11" xfId="0" applyFont="1" applyFill="1" applyBorder="1" applyAlignment="1">
      <alignment wrapText="1"/>
    </xf>
    <xf numFmtId="0" fontId="49" fillId="23" borderId="50" xfId="0" applyFont="1" applyFill="1" applyBorder="1" applyAlignment="1">
      <alignment wrapText="1"/>
    </xf>
    <xf numFmtId="0" fontId="49" fillId="23" borderId="51" xfId="0" applyFont="1" applyFill="1" applyBorder="1" applyAlignment="1">
      <alignment wrapText="1"/>
    </xf>
    <xf numFmtId="0" fontId="0" fillId="5" borderId="151" xfId="0" applyFont="1" applyFill="1" applyBorder="1" applyAlignment="1">
      <alignment horizontal="center"/>
    </xf>
    <xf numFmtId="0" fontId="0" fillId="5" borderId="152" xfId="0" applyFont="1" applyFill="1" applyBorder="1" applyAlignment="1">
      <alignment horizontal="center"/>
    </xf>
    <xf numFmtId="0" fontId="0" fillId="0" borderId="40" xfId="0" applyFont="1" applyBorder="1" applyAlignment="1">
      <alignment horizontal="center"/>
    </xf>
    <xf numFmtId="0" fontId="0" fillId="0" borderId="153" xfId="0" applyFont="1" applyBorder="1" applyAlignment="1">
      <alignment horizontal="center"/>
    </xf>
    <xf numFmtId="0" fontId="0" fillId="5" borderId="40" xfId="0" applyFont="1" applyFill="1" applyBorder="1" applyAlignment="1">
      <alignment horizontal="center"/>
    </xf>
    <xf numFmtId="0" fontId="0" fillId="5" borderId="153" xfId="0" applyFont="1" applyFill="1" applyBorder="1" applyAlignment="1">
      <alignment horizontal="center"/>
    </xf>
    <xf numFmtId="0" fontId="0" fillId="5" borderId="43" xfId="0" applyFont="1" applyFill="1" applyBorder="1" applyAlignment="1">
      <alignment horizontal="center"/>
    </xf>
    <xf numFmtId="0" fontId="5" fillId="0" borderId="0" xfId="0" applyFont="1" applyAlignment="1">
      <alignment horizontal="center"/>
    </xf>
    <xf numFmtId="0" fontId="32" fillId="18" borderId="11" xfId="0" applyFont="1" applyFill="1" applyBorder="1" applyAlignment="1">
      <alignment horizontal="center"/>
    </xf>
    <xf numFmtId="0" fontId="7" fillId="18" borderId="50" xfId="0" applyFont="1" applyFill="1" applyBorder="1" applyAlignment="1">
      <alignment horizontal="center"/>
    </xf>
    <xf numFmtId="0" fontId="7" fillId="18" borderId="51" xfId="0" applyFont="1" applyFill="1" applyBorder="1" applyAlignment="1">
      <alignment horizontal="center"/>
    </xf>
    <xf numFmtId="0" fontId="44" fillId="29" borderId="11" xfId="0" applyFont="1" applyFill="1" applyBorder="1" applyAlignment="1">
      <alignment horizontal="center"/>
    </xf>
    <xf numFmtId="0" fontId="44" fillId="29" borderId="50" xfId="0" applyFont="1" applyFill="1" applyBorder="1" applyAlignment="1">
      <alignment horizontal="center"/>
    </xf>
    <xf numFmtId="0" fontId="44" fillId="29" borderId="57" xfId="0" applyFont="1" applyFill="1" applyBorder="1" applyAlignment="1">
      <alignment horizontal="center"/>
    </xf>
    <xf numFmtId="0" fontId="44" fillId="29" borderId="58" xfId="0" applyFont="1" applyFill="1" applyBorder="1" applyAlignment="1">
      <alignment horizontal="center"/>
    </xf>
    <xf numFmtId="15" fontId="0" fillId="0" borderId="25" xfId="0" applyNumberFormat="1" applyBorder="1" applyAlignment="1">
      <alignment horizontal="center" vertical="center"/>
    </xf>
    <xf numFmtId="15" fontId="0" fillId="0" borderId="83" xfId="0" applyNumberFormat="1" applyBorder="1" applyAlignment="1">
      <alignment horizontal="center" vertical="center"/>
    </xf>
    <xf numFmtId="15" fontId="0" fillId="0" borderId="144" xfId="0" applyNumberFormat="1" applyBorder="1" applyAlignment="1">
      <alignment horizontal="center" vertical="center"/>
    </xf>
    <xf numFmtId="0" fontId="5" fillId="10" borderId="40" xfId="0" applyFont="1" applyFill="1" applyBorder="1" applyAlignment="1">
      <alignment horizontal="center"/>
    </xf>
    <xf numFmtId="0" fontId="5" fillId="10" borderId="38" xfId="0" applyFont="1" applyFill="1" applyBorder="1" applyAlignment="1">
      <alignment horizontal="center"/>
    </xf>
    <xf numFmtId="0" fontId="5" fillId="10" borderId="43" xfId="0" applyFont="1" applyFill="1" applyBorder="1" applyAlignment="1">
      <alignment horizontal="center"/>
    </xf>
  </cellXfs>
  <cellStyles count="28">
    <cellStyle name="Bad" xfId="26" builtinId="27"/>
    <cellStyle name="Comma 2" xfId="1"/>
    <cellStyle name="Currency" xfId="24" builtinId="4"/>
    <cellStyle name="Currency 10" xfId="16"/>
    <cellStyle name="Currency 11" xfId="17"/>
    <cellStyle name="Currency 12" xfId="19"/>
    <cellStyle name="Currency 13" xfId="20"/>
    <cellStyle name="Currency 14" xfId="21"/>
    <cellStyle name="Currency 15" xfId="23"/>
    <cellStyle name="Currency 2" xfId="8"/>
    <cellStyle name="Currency 3" xfId="9"/>
    <cellStyle name="Currency 4" xfId="10"/>
    <cellStyle name="Currency 5" xfId="11"/>
    <cellStyle name="Currency 6" xfId="12"/>
    <cellStyle name="Currency 7" xfId="13"/>
    <cellStyle name="Currency 8" xfId="14"/>
    <cellStyle name="Currency 9" xfId="15"/>
    <cellStyle name="Good" xfId="25" builtinId="26"/>
    <cellStyle name="Hyperlink" xfId="27" builtinId="8"/>
    <cellStyle name="Normal" xfId="0" builtinId="0"/>
    <cellStyle name="Normal 2" xfId="2"/>
    <cellStyle name="Normal 3" xfId="5"/>
    <cellStyle name="Normal 4" xfId="6"/>
    <cellStyle name="Normal 4 3" xfId="4"/>
    <cellStyle name="Normal 5" xfId="18"/>
    <cellStyle name="Normal 6" xfId="22"/>
    <cellStyle name="Percent" xfId="3" builtinId="5"/>
    <cellStyle name="Percent 2" xfId="7"/>
  </cellStyles>
  <dxfs count="81">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dxf>
    <dxf>
      <font>
        <strike val="0"/>
        <color rgb="FFFFC000"/>
      </font>
    </dxf>
    <dxf>
      <font>
        <strike val="0"/>
        <color theme="9"/>
      </font>
    </dxf>
    <dxf>
      <font>
        <color rgb="FF9C0006"/>
      </font>
      <fill>
        <patternFill>
          <bgColor rgb="FFFFC7CE"/>
        </patternFill>
      </fill>
    </dxf>
    <dxf>
      <font>
        <color rgb="FF006100"/>
      </font>
      <fill>
        <patternFill>
          <bgColor rgb="FFC6EFCE"/>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GB" sz="1400" b="1" i="0" u="sng" strike="noStrike" kern="1200" spc="0" baseline="0">
                <a:solidFill>
                  <a:schemeClr val="tx1">
                    <a:lumMod val="65000"/>
                    <a:lumOff val="35000"/>
                  </a:schemeClr>
                </a:solidFill>
                <a:latin typeface="+mn-lt"/>
                <a:ea typeface="+mn-ea"/>
                <a:cs typeface="+mn-cs"/>
              </a:defRPr>
            </a:pPr>
            <a:r>
              <a:rPr lang="en-ZA" b="1" u="sng"/>
              <a:t>Oil Sample Paper Work</a:t>
            </a:r>
            <a:r>
              <a:rPr lang="en-ZA" b="1" u="sng" baseline="0"/>
              <a:t> </a:t>
            </a:r>
            <a:endParaRPr lang="en-ZA" b="1" u="sng"/>
          </a:p>
        </c:rich>
      </c:tx>
      <c:layout/>
      <c:overlay val="0"/>
      <c:spPr>
        <a:solidFill>
          <a:schemeClr val="accent2"/>
        </a:solidFill>
        <a:ln>
          <a:noFill/>
        </a:ln>
        <a:effectLst/>
      </c:spPr>
      <c:txPr>
        <a:bodyPr rot="0" spcFirstLastPara="1" vertOverflow="ellipsis" vert="horz" wrap="square" anchor="ctr" anchorCtr="1"/>
        <a:lstStyle/>
        <a:p>
          <a:pPr>
            <a:defRPr lang="en-GB" sz="1400" b="1" i="0" u="sng"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6879779779501786E-2"/>
          <c:y val="0.13467592592592589"/>
          <c:w val="0.95312022022049858"/>
          <c:h val="0.61498432487605659"/>
        </c:manualLayout>
      </c:layout>
      <c:barChart>
        <c:barDir val="col"/>
        <c:grouping val="clustered"/>
        <c:varyColors val="0"/>
        <c:ser>
          <c:idx val="0"/>
          <c:order val="0"/>
          <c:tx>
            <c:strRef>
              <c:f>'[1]03 Oct 2024'!$N$61</c:f>
              <c:strCache>
                <c:ptCount val="1"/>
                <c:pt idx="0">
                  <c:v>Paperwork Correct</c:v>
                </c:pt>
              </c:strCache>
            </c:strRef>
          </c:tx>
          <c:spPr>
            <a:solidFill>
              <a:schemeClr val="accent1"/>
            </a:solidFill>
            <a:ln>
              <a:noFill/>
            </a:ln>
            <a:effectLst/>
          </c:spPr>
          <c:invertIfNegative val="0"/>
          <c:val>
            <c:numRef>
              <c:f>'[1]03 Oct 2024'!$N$62:$N$67</c:f>
              <c:numCache>
                <c:formatCode>General</c:formatCode>
                <c:ptCount val="6"/>
              </c:numCache>
            </c:numRef>
          </c:val>
          <c:extLst>
            <c:ext xmlns:c16="http://schemas.microsoft.com/office/drawing/2014/chart" uri="{C3380CC4-5D6E-409C-BE32-E72D297353CC}">
              <c16:uniqueId val="{00000000-E327-4AD6-B5F8-558A3A09847E}"/>
            </c:ext>
          </c:extLst>
        </c:ser>
        <c:ser>
          <c:idx val="1"/>
          <c:order val="1"/>
          <c:tx>
            <c:strRef>
              <c:f>'[1]03 Oct 2024'!$O$61</c:f>
              <c:strCache>
                <c:ptCount val="1"/>
                <c:pt idx="0">
                  <c:v>Paperwork Incorrect</c:v>
                </c:pt>
              </c:strCache>
            </c:strRef>
          </c:tx>
          <c:spPr>
            <a:solidFill>
              <a:schemeClr val="accent2"/>
            </a:solidFill>
            <a:ln>
              <a:noFill/>
            </a:ln>
            <a:effectLst/>
          </c:spPr>
          <c:invertIfNegative val="0"/>
          <c:val>
            <c:numRef>
              <c:f>'[1]03 Oct 2024'!$O$62:$O$67</c:f>
              <c:numCache>
                <c:formatCode>General</c:formatCode>
                <c:ptCount val="6"/>
              </c:numCache>
            </c:numRef>
          </c:val>
          <c:extLst>
            <c:ext xmlns:c16="http://schemas.microsoft.com/office/drawing/2014/chart" uri="{C3380CC4-5D6E-409C-BE32-E72D297353CC}">
              <c16:uniqueId val="{00000001-E327-4AD6-B5F8-558A3A09847E}"/>
            </c:ext>
          </c:extLst>
        </c:ser>
        <c:dLbls>
          <c:showLegendKey val="0"/>
          <c:showVal val="0"/>
          <c:showCatName val="0"/>
          <c:showSerName val="0"/>
          <c:showPercent val="0"/>
          <c:showBubbleSize val="0"/>
        </c:dLbls>
        <c:gapWidth val="75"/>
        <c:overlap val="-25"/>
        <c:axId val="144058240"/>
        <c:axId val="144059776"/>
      </c:barChart>
      <c:catAx>
        <c:axId val="1440582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059776"/>
        <c:crosses val="autoZero"/>
        <c:auto val="1"/>
        <c:lblAlgn val="ctr"/>
        <c:lblOffset val="100"/>
        <c:noMultiLvlLbl val="0"/>
      </c:catAx>
      <c:valAx>
        <c:axId val="14405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05824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000000000000044" l="0.7000000000000004" r="0.7000000000000004" t="0.75000000000000044" header="0.30000000000000021" footer="0.3000000000000002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GB" sz="1400" b="1" i="0" u="sng" strike="noStrike" kern="1200" spc="0" baseline="0">
                <a:solidFill>
                  <a:schemeClr val="tx1">
                    <a:lumMod val="65000"/>
                    <a:lumOff val="35000"/>
                  </a:schemeClr>
                </a:solidFill>
                <a:latin typeface="+mn-lt"/>
                <a:ea typeface="+mn-ea"/>
                <a:cs typeface="+mn-cs"/>
              </a:defRPr>
            </a:pPr>
            <a:r>
              <a:rPr lang="en-ZA" b="1" u="sng"/>
              <a:t>Oil Sample Paper Work</a:t>
            </a:r>
            <a:r>
              <a:rPr lang="en-ZA" b="1" u="sng" baseline="0"/>
              <a:t> </a:t>
            </a:r>
            <a:endParaRPr lang="en-ZA" b="1" u="sng"/>
          </a:p>
        </c:rich>
      </c:tx>
      <c:layout/>
      <c:overlay val="0"/>
      <c:spPr>
        <a:solidFill>
          <a:schemeClr val="accent2"/>
        </a:solidFill>
        <a:ln>
          <a:noFill/>
        </a:ln>
        <a:effectLst/>
      </c:spPr>
      <c:txPr>
        <a:bodyPr rot="0" spcFirstLastPara="1" vertOverflow="ellipsis" vert="horz" wrap="square" anchor="ctr" anchorCtr="1"/>
        <a:lstStyle/>
        <a:p>
          <a:pPr>
            <a:defRPr lang="en-GB" sz="1400" b="1" i="0" u="sng"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6879779779501786E-2"/>
          <c:y val="0.13467592592592589"/>
          <c:w val="0.95312022022049858"/>
          <c:h val="0.61498432487605659"/>
        </c:manualLayout>
      </c:layout>
      <c:barChart>
        <c:barDir val="col"/>
        <c:grouping val="clustered"/>
        <c:varyColors val="0"/>
        <c:ser>
          <c:idx val="0"/>
          <c:order val="0"/>
          <c:tx>
            <c:strRef>
              <c:f>'[1]03 Oct 2024'!$N$61</c:f>
              <c:strCache>
                <c:ptCount val="1"/>
                <c:pt idx="0">
                  <c:v>Paperwork Correct</c:v>
                </c:pt>
              </c:strCache>
            </c:strRef>
          </c:tx>
          <c:spPr>
            <a:solidFill>
              <a:schemeClr val="accent1"/>
            </a:solidFill>
            <a:ln>
              <a:noFill/>
            </a:ln>
            <a:effectLst/>
          </c:spPr>
          <c:invertIfNegative val="0"/>
          <c:val>
            <c:numRef>
              <c:f>'[1]03 Oct 2024'!$N$62:$N$67</c:f>
              <c:numCache>
                <c:formatCode>General</c:formatCode>
                <c:ptCount val="6"/>
              </c:numCache>
            </c:numRef>
          </c:val>
          <c:extLst>
            <c:ext xmlns:c16="http://schemas.microsoft.com/office/drawing/2014/chart" uri="{C3380CC4-5D6E-409C-BE32-E72D297353CC}">
              <c16:uniqueId val="{00000000-80D4-45D1-8E6C-1A4168F99FAE}"/>
            </c:ext>
          </c:extLst>
        </c:ser>
        <c:ser>
          <c:idx val="1"/>
          <c:order val="1"/>
          <c:tx>
            <c:strRef>
              <c:f>'[1]03 Oct 2024'!$O$61</c:f>
              <c:strCache>
                <c:ptCount val="1"/>
                <c:pt idx="0">
                  <c:v>Paperwork Incorrect</c:v>
                </c:pt>
              </c:strCache>
            </c:strRef>
          </c:tx>
          <c:spPr>
            <a:solidFill>
              <a:schemeClr val="accent2"/>
            </a:solidFill>
            <a:ln>
              <a:noFill/>
            </a:ln>
            <a:effectLst/>
          </c:spPr>
          <c:invertIfNegative val="0"/>
          <c:val>
            <c:numRef>
              <c:f>'[1]03 Oct 2024'!$O$62:$O$67</c:f>
              <c:numCache>
                <c:formatCode>General</c:formatCode>
                <c:ptCount val="6"/>
              </c:numCache>
            </c:numRef>
          </c:val>
          <c:extLst>
            <c:ext xmlns:c16="http://schemas.microsoft.com/office/drawing/2014/chart" uri="{C3380CC4-5D6E-409C-BE32-E72D297353CC}">
              <c16:uniqueId val="{00000001-80D4-45D1-8E6C-1A4168F99FAE}"/>
            </c:ext>
          </c:extLst>
        </c:ser>
        <c:dLbls>
          <c:showLegendKey val="0"/>
          <c:showVal val="0"/>
          <c:showCatName val="0"/>
          <c:showSerName val="0"/>
          <c:showPercent val="0"/>
          <c:showBubbleSize val="0"/>
        </c:dLbls>
        <c:gapWidth val="75"/>
        <c:overlap val="-25"/>
        <c:axId val="144058240"/>
        <c:axId val="144059776"/>
      </c:barChart>
      <c:catAx>
        <c:axId val="1440582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059776"/>
        <c:crosses val="autoZero"/>
        <c:auto val="1"/>
        <c:lblAlgn val="ctr"/>
        <c:lblOffset val="100"/>
        <c:noMultiLvlLbl val="0"/>
      </c:catAx>
      <c:valAx>
        <c:axId val="14405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05824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000000000000044" l="0.7000000000000004" r="0.7000000000000004" t="0.75000000000000044" header="0.30000000000000021" footer="0.3000000000000002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GB" sz="2400" b="1" i="0" u="sng" strike="noStrike" kern="1200" spc="0" baseline="0">
                <a:solidFill>
                  <a:schemeClr val="tx1">
                    <a:lumMod val="65000"/>
                    <a:lumOff val="35000"/>
                  </a:schemeClr>
                </a:solidFill>
                <a:latin typeface="+mn-lt"/>
                <a:ea typeface="+mn-ea"/>
                <a:cs typeface="+mn-cs"/>
              </a:defRPr>
            </a:pPr>
            <a:r>
              <a:rPr lang="en-ZA"/>
              <a:t>Condition monitoring / Oil samples </a:t>
            </a:r>
          </a:p>
        </c:rich>
      </c:tx>
      <c:layout/>
      <c:overlay val="0"/>
      <c:spPr>
        <a:noFill/>
        <a:ln>
          <a:noFill/>
        </a:ln>
        <a:effectLst/>
      </c:spPr>
      <c:txPr>
        <a:bodyPr rot="0" spcFirstLastPara="1" vertOverflow="ellipsis" vert="horz" wrap="square" anchor="ctr" anchorCtr="1"/>
        <a:lstStyle/>
        <a:p>
          <a:pPr>
            <a:defRPr lang="en-GB" sz="2400" b="1" i="0" u="sng"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0752140724461587E-2"/>
          <c:y val="0.14158171405044959"/>
          <c:w val="0.94433136330190159"/>
          <c:h val="0.67018861256204476"/>
        </c:manualLayout>
      </c:layout>
      <c:barChart>
        <c:barDir val="col"/>
        <c:grouping val="clustered"/>
        <c:varyColors val="0"/>
        <c:ser>
          <c:idx val="0"/>
          <c:order val="0"/>
          <c:tx>
            <c:strRef>
              <c:f>'[1]03 Oct 2024'!$I$61</c:f>
              <c:strCache>
                <c:ptCount val="1"/>
                <c:pt idx="0">
                  <c:v>% Compliance</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GB"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'[1]03 Oct 2024'!$B$62:$B$67</c:f>
              <c:strCache>
                <c:ptCount val="6"/>
                <c:pt idx="0">
                  <c:v>DT</c:v>
                </c:pt>
                <c:pt idx="1">
                  <c:v>FL</c:v>
                </c:pt>
                <c:pt idx="2">
                  <c:v>HD</c:v>
                </c:pt>
                <c:pt idx="3">
                  <c:v>RT</c:v>
                </c:pt>
                <c:pt idx="4">
                  <c:v>SR</c:v>
                </c:pt>
                <c:pt idx="5">
                  <c:v>Support Equipment</c:v>
                </c:pt>
              </c:strCache>
            </c:strRef>
          </c:cat>
          <c:val>
            <c:numRef>
              <c:f>'[1]03 Oct 2024'!$I$62:$I$67</c:f>
              <c:numCache>
                <c:formatCode>General</c:formatCode>
                <c:ptCount val="6"/>
                <c:pt idx="0">
                  <c:v>0</c:v>
                </c:pt>
                <c:pt idx="1">
                  <c:v>0</c:v>
                </c:pt>
                <c:pt idx="2">
                  <c:v>0</c:v>
                </c:pt>
                <c:pt idx="3">
                  <c:v>0</c:v>
                </c:pt>
                <c:pt idx="4">
                  <c:v>0</c:v>
                </c:pt>
                <c:pt idx="5">
                  <c:v>1</c:v>
                </c:pt>
              </c:numCache>
            </c:numRef>
          </c:val>
          <c:extLst>
            <c:ext xmlns:c16="http://schemas.microsoft.com/office/drawing/2014/chart" uri="{C3380CC4-5D6E-409C-BE32-E72D297353CC}">
              <c16:uniqueId val="{00000000-E26C-4CEB-8EE7-2765D6CC71A2}"/>
            </c:ext>
          </c:extLst>
        </c:ser>
        <c:dLbls>
          <c:showLegendKey val="0"/>
          <c:showVal val="0"/>
          <c:showCatName val="0"/>
          <c:showSerName val="0"/>
          <c:showPercent val="0"/>
          <c:showBubbleSize val="0"/>
        </c:dLbls>
        <c:gapWidth val="219"/>
        <c:overlap val="-27"/>
        <c:axId val="118931840"/>
        <c:axId val="118933376"/>
      </c:barChart>
      <c:catAx>
        <c:axId val="118931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1600" b="0" i="0" u="none" strike="noStrike" kern="1200" baseline="0">
                <a:solidFill>
                  <a:schemeClr val="tx1">
                    <a:lumMod val="65000"/>
                    <a:lumOff val="35000"/>
                  </a:schemeClr>
                </a:solidFill>
                <a:latin typeface="+mn-lt"/>
                <a:ea typeface="+mn-ea"/>
                <a:cs typeface="+mn-cs"/>
              </a:defRPr>
            </a:pPr>
            <a:endParaRPr lang="en-US"/>
          </a:p>
        </c:txPr>
        <c:crossAx val="118933376"/>
        <c:crosses val="autoZero"/>
        <c:auto val="1"/>
        <c:lblAlgn val="ctr"/>
        <c:lblOffset val="100"/>
        <c:noMultiLvlLbl val="0"/>
      </c:catAx>
      <c:valAx>
        <c:axId val="118933376"/>
        <c:scaling>
          <c:orientation val="minMax"/>
          <c:min val="0"/>
        </c:scaling>
        <c:delete val="1"/>
        <c:axPos val="l"/>
        <c:numFmt formatCode="General" sourceLinked="1"/>
        <c:majorTickMark val="out"/>
        <c:minorTickMark val="none"/>
        <c:tickLblPos val="nextTo"/>
        <c:crossAx val="118931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lang="en-GB"/>
      </a:pPr>
      <a:endParaRPr lang="en-US"/>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GB" sz="1400" b="1" i="0" u="sng" strike="noStrike" kern="1200" spc="0" baseline="0">
                <a:solidFill>
                  <a:schemeClr val="tx1">
                    <a:lumMod val="65000"/>
                    <a:lumOff val="35000"/>
                  </a:schemeClr>
                </a:solidFill>
                <a:latin typeface="+mn-lt"/>
                <a:ea typeface="+mn-ea"/>
                <a:cs typeface="+mn-cs"/>
              </a:defRPr>
            </a:pPr>
            <a:r>
              <a:rPr lang="en-ZA" b="1" u="sng"/>
              <a:t>Oil Sample Paper Work</a:t>
            </a:r>
            <a:r>
              <a:rPr lang="en-ZA" b="1" u="sng" baseline="0"/>
              <a:t> </a:t>
            </a:r>
            <a:endParaRPr lang="en-ZA" b="1" u="sng"/>
          </a:p>
        </c:rich>
      </c:tx>
      <c:overlay val="0"/>
      <c:spPr>
        <a:solidFill>
          <a:schemeClr val="accent2"/>
        </a:solidFill>
        <a:ln>
          <a:noFill/>
        </a:ln>
        <a:effectLst/>
      </c:spPr>
      <c:txPr>
        <a:bodyPr rot="0" spcFirstLastPara="1" vertOverflow="ellipsis" vert="horz" wrap="square" anchor="ctr" anchorCtr="1"/>
        <a:lstStyle/>
        <a:p>
          <a:pPr>
            <a:defRPr lang="en-GB" sz="1400" b="1" i="0" u="sng"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6879779779501786E-2"/>
          <c:y val="0.13467592592592589"/>
          <c:w val="0.95312022022049858"/>
          <c:h val="0.61498432487605659"/>
        </c:manualLayout>
      </c:layout>
      <c:barChart>
        <c:barDir val="col"/>
        <c:grouping val="clustered"/>
        <c:varyColors val="0"/>
        <c:ser>
          <c:idx val="0"/>
          <c:order val="0"/>
          <c:tx>
            <c:strRef>
              <c:f>'[1]03 Oct 2024'!$N$61</c:f>
              <c:strCache>
                <c:ptCount val="1"/>
                <c:pt idx="0">
                  <c:v>Paperwork Correct</c:v>
                </c:pt>
              </c:strCache>
            </c:strRef>
          </c:tx>
          <c:spPr>
            <a:solidFill>
              <a:schemeClr val="accent1"/>
            </a:solidFill>
            <a:ln>
              <a:noFill/>
            </a:ln>
            <a:effectLst/>
          </c:spPr>
          <c:invertIfNegative val="0"/>
          <c:val>
            <c:numRef>
              <c:f>'[1]03 Oct 2024'!$N$62:$N$67</c:f>
              <c:numCache>
                <c:formatCode>General</c:formatCode>
                <c:ptCount val="6"/>
              </c:numCache>
            </c:numRef>
          </c:val>
          <c:extLst>
            <c:ext xmlns:c16="http://schemas.microsoft.com/office/drawing/2014/chart" uri="{C3380CC4-5D6E-409C-BE32-E72D297353CC}">
              <c16:uniqueId val="{00000000-44A5-46DA-9713-3574BF44EBF7}"/>
            </c:ext>
          </c:extLst>
        </c:ser>
        <c:ser>
          <c:idx val="1"/>
          <c:order val="1"/>
          <c:tx>
            <c:strRef>
              <c:f>'[1]03 Oct 2024'!$O$61</c:f>
              <c:strCache>
                <c:ptCount val="1"/>
                <c:pt idx="0">
                  <c:v>Paperwork Incorrect</c:v>
                </c:pt>
              </c:strCache>
            </c:strRef>
          </c:tx>
          <c:spPr>
            <a:solidFill>
              <a:schemeClr val="accent2"/>
            </a:solidFill>
            <a:ln>
              <a:noFill/>
            </a:ln>
            <a:effectLst/>
          </c:spPr>
          <c:invertIfNegative val="0"/>
          <c:val>
            <c:numRef>
              <c:f>'[1]03 Oct 2024'!$O$62:$O$67</c:f>
              <c:numCache>
                <c:formatCode>General</c:formatCode>
                <c:ptCount val="6"/>
              </c:numCache>
            </c:numRef>
          </c:val>
          <c:extLst>
            <c:ext xmlns:c16="http://schemas.microsoft.com/office/drawing/2014/chart" uri="{C3380CC4-5D6E-409C-BE32-E72D297353CC}">
              <c16:uniqueId val="{00000001-44A5-46DA-9713-3574BF44EBF7}"/>
            </c:ext>
          </c:extLst>
        </c:ser>
        <c:dLbls>
          <c:showLegendKey val="0"/>
          <c:showVal val="0"/>
          <c:showCatName val="0"/>
          <c:showSerName val="0"/>
          <c:showPercent val="0"/>
          <c:showBubbleSize val="0"/>
        </c:dLbls>
        <c:gapWidth val="75"/>
        <c:overlap val="-25"/>
        <c:axId val="144058240"/>
        <c:axId val="144059776"/>
      </c:barChart>
      <c:catAx>
        <c:axId val="1440582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059776"/>
        <c:crosses val="autoZero"/>
        <c:auto val="1"/>
        <c:lblAlgn val="ctr"/>
        <c:lblOffset val="100"/>
        <c:noMultiLvlLbl val="0"/>
      </c:catAx>
      <c:valAx>
        <c:axId val="14405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058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000000000000044" l="0.7000000000000004" r="0.7000000000000004" t="0.75000000000000044" header="0.30000000000000021" footer="0.3000000000000002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886075047238458E-2"/>
          <c:y val="2.5428331875182269E-2"/>
          <c:w val="0.96611392495276105"/>
          <c:h val="0.73577136191309478"/>
        </c:manualLayout>
      </c:layout>
      <c:barChart>
        <c:barDir val="col"/>
        <c:grouping val="clustered"/>
        <c:varyColors val="0"/>
        <c:ser>
          <c:idx val="2"/>
          <c:order val="2"/>
          <c:tx>
            <c:strRef>
              <c:f>'[1]03 Oct 2024'!$E$33</c:f>
              <c:strCache>
                <c:ptCount val="1"/>
                <c:pt idx="0">
                  <c:v>Schedule Compliance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'[1]03 Oct 2024'!$B$34:$B$39</c:f>
              <c:strCache>
                <c:ptCount val="6"/>
                <c:pt idx="0">
                  <c:v>DT</c:v>
                </c:pt>
                <c:pt idx="1">
                  <c:v>FL</c:v>
                </c:pt>
                <c:pt idx="2">
                  <c:v>HD</c:v>
                </c:pt>
                <c:pt idx="3">
                  <c:v>RT</c:v>
                </c:pt>
                <c:pt idx="4">
                  <c:v>SR - Service Compliance</c:v>
                </c:pt>
                <c:pt idx="5">
                  <c:v>Support Equipment</c:v>
                </c:pt>
              </c:strCache>
            </c:strRef>
          </c:cat>
          <c:val>
            <c:numRef>
              <c:f>'[1]03 Oct 2024'!$E$34:$E$39</c:f>
              <c:numCache>
                <c:formatCode>General</c:formatCode>
                <c:ptCount val="6"/>
                <c:pt idx="0">
                  <c:v>0</c:v>
                </c:pt>
                <c:pt idx="1">
                  <c:v>0</c:v>
                </c:pt>
                <c:pt idx="2">
                  <c:v>0</c:v>
                </c:pt>
                <c:pt idx="3">
                  <c:v>0</c:v>
                </c:pt>
                <c:pt idx="4">
                  <c:v>0</c:v>
                </c:pt>
                <c:pt idx="5">
                  <c:v>1</c:v>
                </c:pt>
              </c:numCache>
            </c:numRef>
          </c:val>
          <c:extLst>
            <c:ext xmlns:c16="http://schemas.microsoft.com/office/drawing/2014/chart" uri="{C3380CC4-5D6E-409C-BE32-E72D297353CC}">
              <c16:uniqueId val="{00000000-434F-4D3E-93C3-07B1D5D5FAEC}"/>
            </c:ext>
          </c:extLst>
        </c:ser>
        <c:dLbls>
          <c:showLegendKey val="0"/>
          <c:showVal val="1"/>
          <c:showCatName val="0"/>
          <c:showSerName val="0"/>
          <c:showPercent val="0"/>
          <c:showBubbleSize val="0"/>
        </c:dLbls>
        <c:gapWidth val="75"/>
        <c:axId val="144148736"/>
        <c:axId val="144162816"/>
      </c:barChart>
      <c:lineChart>
        <c:grouping val="standard"/>
        <c:varyColors val="0"/>
        <c:ser>
          <c:idx val="3"/>
          <c:order val="3"/>
          <c:tx>
            <c:strRef>
              <c:f>'[1]03 Oct 2024'!$F$33</c:f>
              <c:strCache>
                <c:ptCount val="1"/>
                <c:pt idx="0">
                  <c:v>Target</c:v>
                </c:pt>
              </c:strCache>
            </c:strRef>
          </c:tx>
          <c:spPr>
            <a:ln w="28575" cap="rnd">
              <a:solidFill>
                <a:schemeClr val="accent2">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'[1]03 Oct 2024'!$B$34:$B$39</c:f>
              <c:strCache>
                <c:ptCount val="6"/>
                <c:pt idx="0">
                  <c:v>DT</c:v>
                </c:pt>
                <c:pt idx="1">
                  <c:v>FL</c:v>
                </c:pt>
                <c:pt idx="2">
                  <c:v>HD</c:v>
                </c:pt>
                <c:pt idx="3">
                  <c:v>RT</c:v>
                </c:pt>
                <c:pt idx="4">
                  <c:v>SR - Service Compliance</c:v>
                </c:pt>
                <c:pt idx="5">
                  <c:v>Support Equipment</c:v>
                </c:pt>
              </c:strCache>
            </c:strRef>
          </c:cat>
          <c:val>
            <c:numRef>
              <c:f>'[1]03 Oct 2024'!$F$34:$F$39</c:f>
              <c:numCache>
                <c:formatCode>General</c:formatCode>
                <c:ptCount val="6"/>
                <c:pt idx="0">
                  <c:v>0.95</c:v>
                </c:pt>
                <c:pt idx="1">
                  <c:v>0.95</c:v>
                </c:pt>
                <c:pt idx="2">
                  <c:v>0.95</c:v>
                </c:pt>
                <c:pt idx="3">
                  <c:v>0.95</c:v>
                </c:pt>
                <c:pt idx="4">
                  <c:v>0.95</c:v>
                </c:pt>
                <c:pt idx="5">
                  <c:v>0.95</c:v>
                </c:pt>
              </c:numCache>
            </c:numRef>
          </c:val>
          <c:smooth val="0"/>
          <c:extLst>
            <c:ext xmlns:c16="http://schemas.microsoft.com/office/drawing/2014/chart" uri="{C3380CC4-5D6E-409C-BE32-E72D297353CC}">
              <c16:uniqueId val="{00000001-434F-4D3E-93C3-07B1D5D5FAEC}"/>
            </c:ext>
          </c:extLst>
        </c:ser>
        <c:dLbls>
          <c:showLegendKey val="0"/>
          <c:showVal val="1"/>
          <c:showCatName val="0"/>
          <c:showSerName val="0"/>
          <c:showPercent val="0"/>
          <c:showBubbleSize val="0"/>
        </c:dLbls>
        <c:marker val="1"/>
        <c:smooth val="0"/>
        <c:axId val="144148736"/>
        <c:axId val="144162816"/>
        <c:extLst>
          <c:ext xmlns:c15="http://schemas.microsoft.com/office/drawing/2012/chart" uri="{02D57815-91ED-43cb-92C2-25804820EDAC}">
            <c15:filteredLineSeries>
              <c15:ser>
                <c:idx val="0"/>
                <c:order val="0"/>
                <c:tx>
                  <c:strRef>
                    <c:extLst>
                      <c:ext uri="{02D57815-91ED-43cb-92C2-25804820EDAC}">
                        <c15:formulaRef>
                          <c15:sqref>'[1]03 Oct 2024'!$C$33</c15:sqref>
                        </c15:formulaRef>
                      </c:ext>
                    </c:extLst>
                    <c:strCache>
                      <c:ptCount val="1"/>
                      <c:pt idx="0">
                        <c:v>Planned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'[1]03 Oct 2024'!$B$34:$B$39</c15:sqref>
                        </c15:formulaRef>
                      </c:ext>
                    </c:extLst>
                    <c:strCache>
                      <c:ptCount val="6"/>
                      <c:pt idx="0">
                        <c:v>DT</c:v>
                      </c:pt>
                      <c:pt idx="1">
                        <c:v>FL</c:v>
                      </c:pt>
                      <c:pt idx="2">
                        <c:v>HD</c:v>
                      </c:pt>
                      <c:pt idx="3">
                        <c:v>RT</c:v>
                      </c:pt>
                      <c:pt idx="4">
                        <c:v>SR - Service Compliance</c:v>
                      </c:pt>
                      <c:pt idx="5">
                        <c:v>Support Equipment</c:v>
                      </c:pt>
                    </c:strCache>
                  </c:strRef>
                </c:cat>
                <c:val>
                  <c:numRef>
                    <c:extLst>
                      <c:ext uri="{02D57815-91ED-43cb-92C2-25804820EDAC}">
                        <c15:formulaRef>
                          <c15:sqref>'[1]03 Oct 2024'!$C$34:$C$39</c15:sqref>
                        </c15:formulaRef>
                      </c:ext>
                    </c:extLst>
                    <c:numCache>
                      <c:formatCode>General</c:formatCode>
                      <c:ptCount val="6"/>
                      <c:pt idx="0">
                        <c:v>0</c:v>
                      </c:pt>
                      <c:pt idx="1">
                        <c:v>0</c:v>
                      </c:pt>
                      <c:pt idx="2">
                        <c:v>3</c:v>
                      </c:pt>
                      <c:pt idx="3">
                        <c:v>3</c:v>
                      </c:pt>
                      <c:pt idx="4">
                        <c:v>0</c:v>
                      </c:pt>
                      <c:pt idx="5">
                        <c:v>3</c:v>
                      </c:pt>
                    </c:numCache>
                  </c:numRef>
                </c:val>
                <c:smooth val="0"/>
                <c:extLst>
                  <c:ext xmlns:c16="http://schemas.microsoft.com/office/drawing/2014/chart" uri="{C3380CC4-5D6E-409C-BE32-E72D297353CC}">
                    <c16:uniqueId val="{00000002-434F-4D3E-93C3-07B1D5D5FAEC}"/>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'[1]03 Oct 2024'!$D$33</c15:sqref>
                        </c15:formulaRef>
                      </c:ext>
                    </c:extLst>
                    <c:strCache>
                      <c:ptCount val="1"/>
                      <c:pt idx="0">
                        <c:v>Actual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'[1]03 Oct 2024'!$B$34:$B$39</c15:sqref>
                        </c15:formulaRef>
                      </c:ext>
                    </c:extLst>
                    <c:strCache>
                      <c:ptCount val="6"/>
                      <c:pt idx="0">
                        <c:v>DT</c:v>
                      </c:pt>
                      <c:pt idx="1">
                        <c:v>FL</c:v>
                      </c:pt>
                      <c:pt idx="2">
                        <c:v>HD</c:v>
                      </c:pt>
                      <c:pt idx="3">
                        <c:v>RT</c:v>
                      </c:pt>
                      <c:pt idx="4">
                        <c:v>SR - Service Compliance</c:v>
                      </c:pt>
                      <c:pt idx="5">
                        <c:v>Support Equipment</c:v>
                      </c:pt>
                    </c:strCache>
                  </c:strRef>
                </c:cat>
                <c:val>
                  <c:numRef>
                    <c:extLst xmlns:c15="http://schemas.microsoft.com/office/drawing/2012/chart">
                      <c:ext xmlns:c15="http://schemas.microsoft.com/office/drawing/2012/chart" uri="{02D57815-91ED-43cb-92C2-25804820EDAC}">
                        <c15:formulaRef>
                          <c15:sqref>'[1]03 Oct 2024'!$D$34:$D$39</c15:sqref>
                        </c15:formulaRef>
                      </c:ext>
                    </c:extLst>
                    <c:numCache>
                      <c:formatCode>General</c:formatCode>
                      <c:ptCount val="6"/>
                      <c:pt idx="5">
                        <c:v>3</c:v>
                      </c:pt>
                    </c:numCache>
                  </c:numRef>
                </c:val>
                <c:smooth val="0"/>
                <c:extLst xmlns:c15="http://schemas.microsoft.com/office/drawing/2012/chart">
                  <c:ext xmlns:c16="http://schemas.microsoft.com/office/drawing/2014/chart" uri="{C3380CC4-5D6E-409C-BE32-E72D297353CC}">
                    <c16:uniqueId val="{00000003-434F-4D3E-93C3-07B1D5D5FAEC}"/>
                  </c:ext>
                </c:extLst>
              </c15:ser>
            </c15:filteredLineSeries>
          </c:ext>
        </c:extLst>
      </c:lineChart>
      <c:catAx>
        <c:axId val="144148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162816"/>
        <c:crosses val="autoZero"/>
        <c:auto val="1"/>
        <c:lblAlgn val="ctr"/>
        <c:lblOffset val="100"/>
        <c:noMultiLvlLbl val="0"/>
      </c:catAx>
      <c:valAx>
        <c:axId val="144162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14873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000000000000044" l="0.7000000000000004" r="0.7000000000000004" t="0.75000000000000044" header="0.30000000000000021" footer="0.3000000000000002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Inspections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'Compliance report'!$C$107</c:f>
              <c:strCache>
                <c:ptCount val="1"/>
                <c:pt idx="0">
                  <c:v>Planned Over-Inspections</c:v>
                </c:pt>
              </c:strCache>
            </c:strRef>
          </c:tx>
          <c:spPr>
            <a:solidFill>
              <a:schemeClr val="accent1"/>
            </a:solidFill>
            <a:ln>
              <a:noFill/>
            </a:ln>
            <a:effectLst/>
          </c:spPr>
          <c:invertIfNegative val="0"/>
          <c:cat>
            <c:strRef>
              <c:f>'Compliance report'!$B$108:$B$115</c:f>
              <c:strCache>
                <c:ptCount val="8"/>
                <c:pt idx="0">
                  <c:v>UTILITY FOREMAN</c:v>
                </c:pt>
                <c:pt idx="1">
                  <c:v>MECHANIC FOREMAN</c:v>
                </c:pt>
                <c:pt idx="2">
                  <c:v>DRILLS FOREMAN</c:v>
                </c:pt>
                <c:pt idx="3">
                  <c:v>Engineer</c:v>
                </c:pt>
                <c:pt idx="4">
                  <c:v>Electrical Foreman</c:v>
                </c:pt>
                <c:pt idx="5">
                  <c:v>Plant Foreman</c:v>
                </c:pt>
                <c:pt idx="6">
                  <c:v>GES Plant</c:v>
                </c:pt>
                <c:pt idx="7">
                  <c:v>GES TMM</c:v>
                </c:pt>
              </c:strCache>
            </c:strRef>
          </c:cat>
          <c:val>
            <c:numRef>
              <c:f>'Compliance report'!$C$108:$C$115</c:f>
              <c:numCache>
                <c:formatCode>General</c:formatCode>
                <c:ptCount val="8"/>
                <c:pt idx="0">
                  <c:v>6</c:v>
                </c:pt>
                <c:pt idx="1">
                  <c:v>6</c:v>
                </c:pt>
                <c:pt idx="2">
                  <c:v>5</c:v>
                </c:pt>
                <c:pt idx="3">
                  <c:v>1</c:v>
                </c:pt>
                <c:pt idx="4">
                  <c:v>4</c:v>
                </c:pt>
                <c:pt idx="5">
                  <c:v>7</c:v>
                </c:pt>
                <c:pt idx="6">
                  <c:v>1</c:v>
                </c:pt>
                <c:pt idx="7">
                  <c:v>1</c:v>
                </c:pt>
              </c:numCache>
            </c:numRef>
          </c:val>
          <c:extLst>
            <c:ext xmlns:c16="http://schemas.microsoft.com/office/drawing/2014/chart" uri="{C3380CC4-5D6E-409C-BE32-E72D297353CC}">
              <c16:uniqueId val="{00000000-A419-438D-B512-1C0E1A4AE133}"/>
            </c:ext>
          </c:extLst>
        </c:ser>
        <c:ser>
          <c:idx val="1"/>
          <c:order val="1"/>
          <c:tx>
            <c:strRef>
              <c:f>'Compliance report'!$D$107</c:f>
              <c:strCache>
                <c:ptCount val="1"/>
                <c:pt idx="0">
                  <c:v>Total Number of Inspections Completed</c:v>
                </c:pt>
              </c:strCache>
            </c:strRef>
          </c:tx>
          <c:spPr>
            <a:solidFill>
              <a:schemeClr val="accent2"/>
            </a:solidFill>
            <a:ln>
              <a:noFill/>
            </a:ln>
            <a:effectLst/>
          </c:spPr>
          <c:invertIfNegative val="0"/>
          <c:cat>
            <c:strRef>
              <c:f>'Compliance report'!$B$108:$B$115</c:f>
              <c:strCache>
                <c:ptCount val="8"/>
                <c:pt idx="0">
                  <c:v>UTILITY FOREMAN</c:v>
                </c:pt>
                <c:pt idx="1">
                  <c:v>MECHANIC FOREMAN</c:v>
                </c:pt>
                <c:pt idx="2">
                  <c:v>DRILLS FOREMAN</c:v>
                </c:pt>
                <c:pt idx="3">
                  <c:v>Engineer</c:v>
                </c:pt>
                <c:pt idx="4">
                  <c:v>Electrical Foreman</c:v>
                </c:pt>
                <c:pt idx="5">
                  <c:v>Plant Foreman</c:v>
                </c:pt>
                <c:pt idx="6">
                  <c:v>GES Plant</c:v>
                </c:pt>
                <c:pt idx="7">
                  <c:v>GES TMM</c:v>
                </c:pt>
              </c:strCache>
            </c:strRef>
          </c:cat>
          <c:val>
            <c:numRef>
              <c:f>'Compliance report'!$D$108:$D$115</c:f>
              <c:numCache>
                <c:formatCode>General</c:formatCode>
                <c:ptCount val="8"/>
                <c:pt idx="0">
                  <c:v>4</c:v>
                </c:pt>
                <c:pt idx="1">
                  <c:v>6</c:v>
                </c:pt>
                <c:pt idx="2">
                  <c:v>5</c:v>
                </c:pt>
                <c:pt idx="3">
                  <c:v>1</c:v>
                </c:pt>
                <c:pt idx="4">
                  <c:v>4</c:v>
                </c:pt>
                <c:pt idx="5">
                  <c:v>7</c:v>
                </c:pt>
                <c:pt idx="6">
                  <c:v>1</c:v>
                </c:pt>
                <c:pt idx="7">
                  <c:v>1</c:v>
                </c:pt>
              </c:numCache>
            </c:numRef>
          </c:val>
          <c:extLst>
            <c:ext xmlns:c16="http://schemas.microsoft.com/office/drawing/2014/chart" uri="{C3380CC4-5D6E-409C-BE32-E72D297353CC}">
              <c16:uniqueId val="{00000001-A419-438D-B512-1C0E1A4AE133}"/>
            </c:ext>
          </c:extLst>
        </c:ser>
        <c:dLbls>
          <c:showLegendKey val="0"/>
          <c:showVal val="0"/>
          <c:showCatName val="0"/>
          <c:showSerName val="0"/>
          <c:showPercent val="0"/>
          <c:showBubbleSize val="0"/>
        </c:dLbls>
        <c:gapWidth val="219"/>
        <c:overlap val="-27"/>
        <c:axId val="654996824"/>
        <c:axId val="654997480"/>
      </c:barChart>
      <c:catAx>
        <c:axId val="654996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997480"/>
        <c:crosses val="autoZero"/>
        <c:auto val="1"/>
        <c:lblAlgn val="ctr"/>
        <c:lblOffset val="100"/>
        <c:noMultiLvlLbl val="0"/>
      </c:catAx>
      <c:valAx>
        <c:axId val="654997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99682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b="1"/>
              <a:t>Services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'Compliance report'!$C$6</c:f>
              <c:strCache>
                <c:ptCount val="1"/>
                <c:pt idx="0">
                  <c:v>Planned</c:v>
                </c:pt>
              </c:strCache>
            </c:strRef>
          </c:tx>
          <c:spPr>
            <a:solidFill>
              <a:schemeClr val="accent1"/>
            </a:solidFill>
            <a:ln>
              <a:noFill/>
            </a:ln>
            <a:effectLst/>
          </c:spPr>
          <c:invertIfNegative val="0"/>
          <c:cat>
            <c:strRef>
              <c:f>'Compliance report'!$B$7:$B$13</c:f>
              <c:strCache>
                <c:ptCount val="7"/>
                <c:pt idx="0">
                  <c:v>DT</c:v>
                </c:pt>
                <c:pt idx="1">
                  <c:v>FL</c:v>
                </c:pt>
                <c:pt idx="2">
                  <c:v>HD</c:v>
                </c:pt>
                <c:pt idx="3">
                  <c:v>RT</c:v>
                </c:pt>
                <c:pt idx="4">
                  <c:v>SR - Service Compliance</c:v>
                </c:pt>
                <c:pt idx="5">
                  <c:v>Support Equipment</c:v>
                </c:pt>
                <c:pt idx="6">
                  <c:v>SR - Weekly Inspection </c:v>
                </c:pt>
              </c:strCache>
            </c:strRef>
          </c:cat>
          <c:val>
            <c:numRef>
              <c:f>'Compliance report'!$C$7:$C$13</c:f>
              <c:numCache>
                <c:formatCode>General</c:formatCode>
                <c:ptCount val="7"/>
                <c:pt idx="0">
                  <c:v>3</c:v>
                </c:pt>
                <c:pt idx="1">
                  <c:v>0</c:v>
                </c:pt>
                <c:pt idx="2">
                  <c:v>3</c:v>
                </c:pt>
                <c:pt idx="3">
                  <c:v>2</c:v>
                </c:pt>
                <c:pt idx="4">
                  <c:v>0</c:v>
                </c:pt>
                <c:pt idx="5">
                  <c:v>10</c:v>
                </c:pt>
                <c:pt idx="6">
                  <c:v>8</c:v>
                </c:pt>
              </c:numCache>
            </c:numRef>
          </c:val>
          <c:extLst>
            <c:ext xmlns:c16="http://schemas.microsoft.com/office/drawing/2014/chart" uri="{C3380CC4-5D6E-409C-BE32-E72D297353CC}">
              <c16:uniqueId val="{00000000-025F-447D-99FF-B46147D0924C}"/>
            </c:ext>
          </c:extLst>
        </c:ser>
        <c:ser>
          <c:idx val="1"/>
          <c:order val="1"/>
          <c:tx>
            <c:strRef>
              <c:f>'Compliance report'!$D$6</c:f>
              <c:strCache>
                <c:ptCount val="1"/>
                <c:pt idx="0">
                  <c:v>Actual</c:v>
                </c:pt>
              </c:strCache>
            </c:strRef>
          </c:tx>
          <c:spPr>
            <a:solidFill>
              <a:schemeClr val="accent2"/>
            </a:solidFill>
            <a:ln>
              <a:noFill/>
            </a:ln>
            <a:effectLst/>
          </c:spPr>
          <c:invertIfNegative val="0"/>
          <c:cat>
            <c:strRef>
              <c:f>'Compliance report'!$B$7:$B$13</c:f>
              <c:strCache>
                <c:ptCount val="7"/>
                <c:pt idx="0">
                  <c:v>DT</c:v>
                </c:pt>
                <c:pt idx="1">
                  <c:v>FL</c:v>
                </c:pt>
                <c:pt idx="2">
                  <c:v>HD</c:v>
                </c:pt>
                <c:pt idx="3">
                  <c:v>RT</c:v>
                </c:pt>
                <c:pt idx="4">
                  <c:v>SR - Service Compliance</c:v>
                </c:pt>
                <c:pt idx="5">
                  <c:v>Support Equipment</c:v>
                </c:pt>
                <c:pt idx="6">
                  <c:v>SR - Weekly Inspection </c:v>
                </c:pt>
              </c:strCache>
            </c:strRef>
          </c:cat>
          <c:val>
            <c:numRef>
              <c:f>'Compliance report'!$D$7:$D$13</c:f>
              <c:numCache>
                <c:formatCode>General</c:formatCode>
                <c:ptCount val="7"/>
                <c:pt idx="0">
                  <c:v>3</c:v>
                </c:pt>
                <c:pt idx="1">
                  <c:v>0</c:v>
                </c:pt>
                <c:pt idx="2">
                  <c:v>3</c:v>
                </c:pt>
                <c:pt idx="3">
                  <c:v>2</c:v>
                </c:pt>
                <c:pt idx="4">
                  <c:v>0</c:v>
                </c:pt>
                <c:pt idx="5">
                  <c:v>5</c:v>
                </c:pt>
                <c:pt idx="6">
                  <c:v>8</c:v>
                </c:pt>
              </c:numCache>
            </c:numRef>
          </c:val>
          <c:extLst>
            <c:ext xmlns:c16="http://schemas.microsoft.com/office/drawing/2014/chart" uri="{C3380CC4-5D6E-409C-BE32-E72D297353CC}">
              <c16:uniqueId val="{00000001-025F-447D-99FF-B46147D0924C}"/>
            </c:ext>
          </c:extLst>
        </c:ser>
        <c:dLbls>
          <c:showLegendKey val="0"/>
          <c:showVal val="0"/>
          <c:showCatName val="0"/>
          <c:showSerName val="0"/>
          <c:showPercent val="0"/>
          <c:showBubbleSize val="0"/>
        </c:dLbls>
        <c:gapWidth val="219"/>
        <c:overlap val="-27"/>
        <c:axId val="610917296"/>
        <c:axId val="610915984"/>
      </c:barChart>
      <c:catAx>
        <c:axId val="61091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915984"/>
        <c:crosses val="autoZero"/>
        <c:auto val="1"/>
        <c:lblAlgn val="ctr"/>
        <c:lblOffset val="100"/>
        <c:noMultiLvlLbl val="0"/>
      </c:catAx>
      <c:valAx>
        <c:axId val="61091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91729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Nchwaning II Oil Store (UG1)SC</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307885896978927"/>
          <c:y val="1.2813689627379261E-2"/>
          <c:w val="0.86497326723048773"/>
          <c:h val="0.75748031496062951"/>
        </c:manualLayout>
      </c:layout>
      <c:barChart>
        <c:barDir val="col"/>
        <c:grouping val="clustered"/>
        <c:varyColors val="0"/>
        <c:ser>
          <c:idx val="0"/>
          <c:order val="0"/>
          <c:tx>
            <c:v>Azolla ZS 68</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[2]Blackrock!$E$87:$E$103</c:f>
              <c:strCache>
                <c:ptCount val="17"/>
                <c:pt idx="0">
                  <c:v>DT0121</c:v>
                </c:pt>
                <c:pt idx="1">
                  <c:v>DT0122</c:v>
                </c:pt>
                <c:pt idx="2">
                  <c:v>DT0157</c:v>
                </c:pt>
                <c:pt idx="3">
                  <c:v>DT0158</c:v>
                </c:pt>
                <c:pt idx="4">
                  <c:v>DT0159</c:v>
                </c:pt>
                <c:pt idx="5">
                  <c:v>DT0169</c:v>
                </c:pt>
                <c:pt idx="6">
                  <c:v>DT0170</c:v>
                </c:pt>
                <c:pt idx="7">
                  <c:v>FL0092</c:v>
                </c:pt>
                <c:pt idx="8">
                  <c:v>FL0100</c:v>
                </c:pt>
                <c:pt idx="9">
                  <c:v>FL0086</c:v>
                </c:pt>
                <c:pt idx="10">
                  <c:v>FL0087</c:v>
                </c:pt>
                <c:pt idx="11">
                  <c:v>FL0102</c:v>
                </c:pt>
                <c:pt idx="12">
                  <c:v>FL0106</c:v>
                </c:pt>
                <c:pt idx="13">
                  <c:v>FL0114</c:v>
                </c:pt>
                <c:pt idx="14">
                  <c:v>FL0120</c:v>
                </c:pt>
                <c:pt idx="15">
                  <c:v>FL0068</c:v>
                </c:pt>
                <c:pt idx="16">
                  <c:v>FL0077</c:v>
                </c:pt>
              </c:strCache>
            </c:strRef>
          </c:cat>
          <c:val>
            <c:numRef>
              <c:f>[2]Blackrock!$F$87:$F$103</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0-22AA-4EA5-85EA-213CF01607A1}"/>
            </c:ext>
          </c:extLst>
        </c:ser>
        <c:ser>
          <c:idx val="1"/>
          <c:order val="1"/>
          <c:tx>
            <c:v>DA85W140</c:v>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[2]Blackrock!$E$87:$E$103</c:f>
              <c:strCache>
                <c:ptCount val="17"/>
                <c:pt idx="0">
                  <c:v>DT0121</c:v>
                </c:pt>
                <c:pt idx="1">
                  <c:v>DT0122</c:v>
                </c:pt>
                <c:pt idx="2">
                  <c:v>DT0157</c:v>
                </c:pt>
                <c:pt idx="3">
                  <c:v>DT0158</c:v>
                </c:pt>
                <c:pt idx="4">
                  <c:v>DT0159</c:v>
                </c:pt>
                <c:pt idx="5">
                  <c:v>DT0169</c:v>
                </c:pt>
                <c:pt idx="6">
                  <c:v>DT0170</c:v>
                </c:pt>
                <c:pt idx="7">
                  <c:v>FL0092</c:v>
                </c:pt>
                <c:pt idx="8">
                  <c:v>FL0100</c:v>
                </c:pt>
                <c:pt idx="9">
                  <c:v>FL0086</c:v>
                </c:pt>
                <c:pt idx="10">
                  <c:v>FL0087</c:v>
                </c:pt>
                <c:pt idx="11">
                  <c:v>FL0102</c:v>
                </c:pt>
                <c:pt idx="12">
                  <c:v>FL0106</c:v>
                </c:pt>
                <c:pt idx="13">
                  <c:v>FL0114</c:v>
                </c:pt>
                <c:pt idx="14">
                  <c:v>FL0120</c:v>
                </c:pt>
                <c:pt idx="15">
                  <c:v>FL0068</c:v>
                </c:pt>
                <c:pt idx="16">
                  <c:v>FL0077</c:v>
                </c:pt>
              </c:strCache>
            </c:strRef>
          </c:cat>
          <c:val>
            <c:numRef>
              <c:f>[2]Blackrock!$G$87:$G$103</c:f>
              <c:numCache>
                <c:formatCode>General</c:formatCode>
                <c:ptCount val="17"/>
                <c:pt idx="0">
                  <c:v>0</c:v>
                </c:pt>
                <c:pt idx="1">
                  <c:v>0</c:v>
                </c:pt>
                <c:pt idx="2">
                  <c:v>0</c:v>
                </c:pt>
                <c:pt idx="3">
                  <c:v>0</c:v>
                </c:pt>
                <c:pt idx="4">
                  <c:v>0</c:v>
                </c:pt>
                <c:pt idx="5">
                  <c:v>0</c:v>
                </c:pt>
                <c:pt idx="6">
                  <c:v>0.4</c:v>
                </c:pt>
                <c:pt idx="7">
                  <c:v>0</c:v>
                </c:pt>
                <c:pt idx="8">
                  <c:v>0</c:v>
                </c:pt>
                <c:pt idx="9">
                  <c:v>0</c:v>
                </c:pt>
                <c:pt idx="10">
                  <c:v>0</c:v>
                </c:pt>
                <c:pt idx="11">
                  <c:v>0</c:v>
                </c:pt>
                <c:pt idx="12">
                  <c:v>0</c:v>
                </c:pt>
                <c:pt idx="13">
                  <c:v>0.25</c:v>
                </c:pt>
                <c:pt idx="14">
                  <c:v>0</c:v>
                </c:pt>
                <c:pt idx="15">
                  <c:v>0</c:v>
                </c:pt>
                <c:pt idx="16">
                  <c:v>0</c:v>
                </c:pt>
              </c:numCache>
            </c:numRef>
          </c:val>
          <c:extLst>
            <c:ext xmlns:c16="http://schemas.microsoft.com/office/drawing/2014/chart" uri="{C3380CC4-5D6E-409C-BE32-E72D297353CC}">
              <c16:uniqueId val="{00000001-22AA-4EA5-85EA-213CF01607A1}"/>
            </c:ext>
          </c:extLst>
        </c:ser>
        <c:ser>
          <c:idx val="2"/>
          <c:order val="2"/>
          <c:tx>
            <c:v>Rubia TIR 7400</c:v>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[2]Blackrock!$E$87:$E$103</c:f>
              <c:strCache>
                <c:ptCount val="17"/>
                <c:pt idx="0">
                  <c:v>DT0121</c:v>
                </c:pt>
                <c:pt idx="1">
                  <c:v>DT0122</c:v>
                </c:pt>
                <c:pt idx="2">
                  <c:v>DT0157</c:v>
                </c:pt>
                <c:pt idx="3">
                  <c:v>DT0158</c:v>
                </c:pt>
                <c:pt idx="4">
                  <c:v>DT0159</c:v>
                </c:pt>
                <c:pt idx="5">
                  <c:v>DT0169</c:v>
                </c:pt>
                <c:pt idx="6">
                  <c:v>DT0170</c:v>
                </c:pt>
                <c:pt idx="7">
                  <c:v>FL0092</c:v>
                </c:pt>
                <c:pt idx="8">
                  <c:v>FL0100</c:v>
                </c:pt>
                <c:pt idx="9">
                  <c:v>FL0086</c:v>
                </c:pt>
                <c:pt idx="10">
                  <c:v>FL0087</c:v>
                </c:pt>
                <c:pt idx="11">
                  <c:v>FL0102</c:v>
                </c:pt>
                <c:pt idx="12">
                  <c:v>FL0106</c:v>
                </c:pt>
                <c:pt idx="13">
                  <c:v>FL0114</c:v>
                </c:pt>
                <c:pt idx="14">
                  <c:v>FL0120</c:v>
                </c:pt>
                <c:pt idx="15">
                  <c:v>FL0068</c:v>
                </c:pt>
                <c:pt idx="16">
                  <c:v>FL0077</c:v>
                </c:pt>
              </c:strCache>
            </c:strRef>
          </c:cat>
          <c:val>
            <c:numRef>
              <c:f>[2]Blackrock!$H$87:$H$103</c:f>
              <c:numCache>
                <c:formatCode>General</c:formatCode>
                <c:ptCount val="17"/>
                <c:pt idx="0">
                  <c:v>34.9</c:v>
                </c:pt>
                <c:pt idx="1">
                  <c:v>0</c:v>
                </c:pt>
                <c:pt idx="2">
                  <c:v>51.7</c:v>
                </c:pt>
                <c:pt idx="3">
                  <c:v>7.9</c:v>
                </c:pt>
                <c:pt idx="4">
                  <c:v>0</c:v>
                </c:pt>
                <c:pt idx="5">
                  <c:v>47.6</c:v>
                </c:pt>
                <c:pt idx="6">
                  <c:v>101.8</c:v>
                </c:pt>
                <c:pt idx="7">
                  <c:v>0</c:v>
                </c:pt>
                <c:pt idx="8">
                  <c:v>0</c:v>
                </c:pt>
                <c:pt idx="9">
                  <c:v>0</c:v>
                </c:pt>
                <c:pt idx="10">
                  <c:v>0</c:v>
                </c:pt>
                <c:pt idx="11">
                  <c:v>31.2</c:v>
                </c:pt>
                <c:pt idx="12">
                  <c:v>14.1</c:v>
                </c:pt>
                <c:pt idx="13">
                  <c:v>55.1</c:v>
                </c:pt>
                <c:pt idx="14">
                  <c:v>2</c:v>
                </c:pt>
                <c:pt idx="15">
                  <c:v>0</c:v>
                </c:pt>
                <c:pt idx="16">
                  <c:v>0</c:v>
                </c:pt>
              </c:numCache>
            </c:numRef>
          </c:val>
          <c:extLst>
            <c:ext xmlns:c16="http://schemas.microsoft.com/office/drawing/2014/chart" uri="{C3380CC4-5D6E-409C-BE32-E72D297353CC}">
              <c16:uniqueId val="{00000002-22AA-4EA5-85EA-213CF01607A1}"/>
            </c:ext>
          </c:extLst>
        </c:ser>
        <c:ser>
          <c:idx val="3"/>
          <c:order val="3"/>
          <c:tx>
            <c:v>Multagri Super</c:v>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[2]Blackrock!$E$87:$E$103</c:f>
              <c:strCache>
                <c:ptCount val="17"/>
                <c:pt idx="0">
                  <c:v>DT0121</c:v>
                </c:pt>
                <c:pt idx="1">
                  <c:v>DT0122</c:v>
                </c:pt>
                <c:pt idx="2">
                  <c:v>DT0157</c:v>
                </c:pt>
                <c:pt idx="3">
                  <c:v>DT0158</c:v>
                </c:pt>
                <c:pt idx="4">
                  <c:v>DT0159</c:v>
                </c:pt>
                <c:pt idx="5">
                  <c:v>DT0169</c:v>
                </c:pt>
                <c:pt idx="6">
                  <c:v>DT0170</c:v>
                </c:pt>
                <c:pt idx="7">
                  <c:v>FL0092</c:v>
                </c:pt>
                <c:pt idx="8">
                  <c:v>FL0100</c:v>
                </c:pt>
                <c:pt idx="9">
                  <c:v>FL0086</c:v>
                </c:pt>
                <c:pt idx="10">
                  <c:v>FL0087</c:v>
                </c:pt>
                <c:pt idx="11">
                  <c:v>FL0102</c:v>
                </c:pt>
                <c:pt idx="12">
                  <c:v>FL0106</c:v>
                </c:pt>
                <c:pt idx="13">
                  <c:v>FL0114</c:v>
                </c:pt>
                <c:pt idx="14">
                  <c:v>FL0120</c:v>
                </c:pt>
                <c:pt idx="15">
                  <c:v>FL0068</c:v>
                </c:pt>
                <c:pt idx="16">
                  <c:v>FL0077</c:v>
                </c:pt>
              </c:strCache>
            </c:strRef>
          </c:cat>
          <c:val>
            <c:numRef>
              <c:f>[2]Blackrock!$I$87:$I$103</c:f>
              <c:numCache>
                <c:formatCode>General</c:formatCode>
                <c:ptCount val="17"/>
                <c:pt idx="0">
                  <c:v>42</c:v>
                </c:pt>
                <c:pt idx="1">
                  <c:v>39.4</c:v>
                </c:pt>
                <c:pt idx="2">
                  <c:v>34.299999999999997</c:v>
                </c:pt>
                <c:pt idx="3">
                  <c:v>0</c:v>
                </c:pt>
                <c:pt idx="4">
                  <c:v>24</c:v>
                </c:pt>
                <c:pt idx="5">
                  <c:v>26.1</c:v>
                </c:pt>
                <c:pt idx="6">
                  <c:v>117.1</c:v>
                </c:pt>
                <c:pt idx="7">
                  <c:v>18.899999999999999</c:v>
                </c:pt>
                <c:pt idx="8">
                  <c:v>11.5</c:v>
                </c:pt>
                <c:pt idx="9">
                  <c:v>169.9</c:v>
                </c:pt>
                <c:pt idx="10">
                  <c:v>46.6</c:v>
                </c:pt>
                <c:pt idx="11">
                  <c:v>15.1</c:v>
                </c:pt>
                <c:pt idx="12">
                  <c:v>0</c:v>
                </c:pt>
                <c:pt idx="13">
                  <c:v>144.69999999999999</c:v>
                </c:pt>
                <c:pt idx="14">
                  <c:v>31.8</c:v>
                </c:pt>
                <c:pt idx="15">
                  <c:v>38.9</c:v>
                </c:pt>
                <c:pt idx="16">
                  <c:v>213.1</c:v>
                </c:pt>
              </c:numCache>
            </c:numRef>
          </c:val>
          <c:extLst>
            <c:ext xmlns:c16="http://schemas.microsoft.com/office/drawing/2014/chart" uri="{C3380CC4-5D6E-409C-BE32-E72D297353CC}">
              <c16:uniqueId val="{00000003-22AA-4EA5-85EA-213CF01607A1}"/>
            </c:ext>
          </c:extLst>
        </c:ser>
        <c:ser>
          <c:idx val="4"/>
          <c:order val="4"/>
          <c:tx>
            <c:v>Trans AC5</c:v>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[2]Blackrock!$E$87:$E$103</c:f>
              <c:strCache>
                <c:ptCount val="17"/>
                <c:pt idx="0">
                  <c:v>DT0121</c:v>
                </c:pt>
                <c:pt idx="1">
                  <c:v>DT0122</c:v>
                </c:pt>
                <c:pt idx="2">
                  <c:v>DT0157</c:v>
                </c:pt>
                <c:pt idx="3">
                  <c:v>DT0158</c:v>
                </c:pt>
                <c:pt idx="4">
                  <c:v>DT0159</c:v>
                </c:pt>
                <c:pt idx="5">
                  <c:v>DT0169</c:v>
                </c:pt>
                <c:pt idx="6">
                  <c:v>DT0170</c:v>
                </c:pt>
                <c:pt idx="7">
                  <c:v>FL0092</c:v>
                </c:pt>
                <c:pt idx="8">
                  <c:v>FL0100</c:v>
                </c:pt>
                <c:pt idx="9">
                  <c:v>FL0086</c:v>
                </c:pt>
                <c:pt idx="10">
                  <c:v>FL0087</c:v>
                </c:pt>
                <c:pt idx="11">
                  <c:v>FL0102</c:v>
                </c:pt>
                <c:pt idx="12">
                  <c:v>FL0106</c:v>
                </c:pt>
                <c:pt idx="13">
                  <c:v>FL0114</c:v>
                </c:pt>
                <c:pt idx="14">
                  <c:v>FL0120</c:v>
                </c:pt>
                <c:pt idx="15">
                  <c:v>FL0068</c:v>
                </c:pt>
                <c:pt idx="16">
                  <c:v>FL0077</c:v>
                </c:pt>
              </c:strCache>
            </c:strRef>
          </c:cat>
          <c:val>
            <c:numRef>
              <c:f>[2]Blackrock!$J$87:$J$103</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4-22AA-4EA5-85EA-213CF01607A1}"/>
            </c:ext>
          </c:extLst>
        </c:ser>
        <c:ser>
          <c:idx val="5"/>
          <c:order val="5"/>
          <c:tx>
            <c:v>Rubia TIR 8600</c:v>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[2]Blackrock!$E$87:$E$103</c:f>
              <c:strCache>
                <c:ptCount val="17"/>
                <c:pt idx="0">
                  <c:v>DT0121</c:v>
                </c:pt>
                <c:pt idx="1">
                  <c:v>DT0122</c:v>
                </c:pt>
                <c:pt idx="2">
                  <c:v>DT0157</c:v>
                </c:pt>
                <c:pt idx="3">
                  <c:v>DT0158</c:v>
                </c:pt>
                <c:pt idx="4">
                  <c:v>DT0159</c:v>
                </c:pt>
                <c:pt idx="5">
                  <c:v>DT0169</c:v>
                </c:pt>
                <c:pt idx="6">
                  <c:v>DT0170</c:v>
                </c:pt>
                <c:pt idx="7">
                  <c:v>FL0092</c:v>
                </c:pt>
                <c:pt idx="8">
                  <c:v>FL0100</c:v>
                </c:pt>
                <c:pt idx="9">
                  <c:v>FL0086</c:v>
                </c:pt>
                <c:pt idx="10">
                  <c:v>FL0087</c:v>
                </c:pt>
                <c:pt idx="11">
                  <c:v>FL0102</c:v>
                </c:pt>
                <c:pt idx="12">
                  <c:v>FL0106</c:v>
                </c:pt>
                <c:pt idx="13">
                  <c:v>FL0114</c:v>
                </c:pt>
                <c:pt idx="14">
                  <c:v>FL0120</c:v>
                </c:pt>
                <c:pt idx="15">
                  <c:v>FL0068</c:v>
                </c:pt>
                <c:pt idx="16">
                  <c:v>FL0077</c:v>
                </c:pt>
              </c:strCache>
            </c:strRef>
          </c:cat>
          <c:val>
            <c:numRef>
              <c:f>[2]Blackrock!$K$87:$K$103</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5-22AA-4EA5-85EA-213CF01607A1}"/>
            </c:ext>
          </c:extLst>
        </c:ser>
        <c:ser>
          <c:idx val="6"/>
          <c:order val="6"/>
          <c:tx>
            <c:v>Trans AC3</c:v>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[2]Blackrock!$E$87:$E$103</c:f>
              <c:strCache>
                <c:ptCount val="17"/>
                <c:pt idx="0">
                  <c:v>DT0121</c:v>
                </c:pt>
                <c:pt idx="1">
                  <c:v>DT0122</c:v>
                </c:pt>
                <c:pt idx="2">
                  <c:v>DT0157</c:v>
                </c:pt>
                <c:pt idx="3">
                  <c:v>DT0158</c:v>
                </c:pt>
                <c:pt idx="4">
                  <c:v>DT0159</c:v>
                </c:pt>
                <c:pt idx="5">
                  <c:v>DT0169</c:v>
                </c:pt>
                <c:pt idx="6">
                  <c:v>DT0170</c:v>
                </c:pt>
                <c:pt idx="7">
                  <c:v>FL0092</c:v>
                </c:pt>
                <c:pt idx="8">
                  <c:v>FL0100</c:v>
                </c:pt>
                <c:pt idx="9">
                  <c:v>FL0086</c:v>
                </c:pt>
                <c:pt idx="10">
                  <c:v>FL0087</c:v>
                </c:pt>
                <c:pt idx="11">
                  <c:v>FL0102</c:v>
                </c:pt>
                <c:pt idx="12">
                  <c:v>FL0106</c:v>
                </c:pt>
                <c:pt idx="13">
                  <c:v>FL0114</c:v>
                </c:pt>
                <c:pt idx="14">
                  <c:v>FL0120</c:v>
                </c:pt>
                <c:pt idx="15">
                  <c:v>FL0068</c:v>
                </c:pt>
                <c:pt idx="16">
                  <c:v>FL0077</c:v>
                </c:pt>
              </c:strCache>
            </c:strRef>
          </c:cat>
          <c:val>
            <c:numRef>
              <c:f>[2]Blackrock!$L$87:$L$103</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6-22AA-4EA5-85EA-213CF01607A1}"/>
            </c:ext>
          </c:extLst>
        </c:ser>
        <c:ser>
          <c:idx val="7"/>
          <c:order val="7"/>
          <c:tx>
            <c:v>Trans MP210</c:v>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[2]Blackrock!$E$87:$E$103</c:f>
              <c:strCache>
                <c:ptCount val="17"/>
                <c:pt idx="0">
                  <c:v>DT0121</c:v>
                </c:pt>
                <c:pt idx="1">
                  <c:v>DT0122</c:v>
                </c:pt>
                <c:pt idx="2">
                  <c:v>DT0157</c:v>
                </c:pt>
                <c:pt idx="3">
                  <c:v>DT0158</c:v>
                </c:pt>
                <c:pt idx="4">
                  <c:v>DT0159</c:v>
                </c:pt>
                <c:pt idx="5">
                  <c:v>DT0169</c:v>
                </c:pt>
                <c:pt idx="6">
                  <c:v>DT0170</c:v>
                </c:pt>
                <c:pt idx="7">
                  <c:v>FL0092</c:v>
                </c:pt>
                <c:pt idx="8">
                  <c:v>FL0100</c:v>
                </c:pt>
                <c:pt idx="9">
                  <c:v>FL0086</c:v>
                </c:pt>
                <c:pt idx="10">
                  <c:v>FL0087</c:v>
                </c:pt>
                <c:pt idx="11">
                  <c:v>FL0102</c:v>
                </c:pt>
                <c:pt idx="12">
                  <c:v>FL0106</c:v>
                </c:pt>
                <c:pt idx="13">
                  <c:v>FL0114</c:v>
                </c:pt>
                <c:pt idx="14">
                  <c:v>FL0120</c:v>
                </c:pt>
                <c:pt idx="15">
                  <c:v>FL0068</c:v>
                </c:pt>
                <c:pt idx="16">
                  <c:v>FL0077</c:v>
                </c:pt>
              </c:strCache>
            </c:strRef>
          </c:cat>
          <c:val>
            <c:numRef>
              <c:f>[2]Blackrock!$M$87:$M$103</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7-22AA-4EA5-85EA-213CF01607A1}"/>
            </c:ext>
          </c:extLst>
        </c:ser>
        <c:dLbls>
          <c:showLegendKey val="0"/>
          <c:showVal val="0"/>
          <c:showCatName val="0"/>
          <c:showSerName val="0"/>
          <c:showPercent val="0"/>
          <c:showBubbleSize val="0"/>
        </c:dLbls>
        <c:gapWidth val="100"/>
        <c:overlap val="-24"/>
        <c:axId val="434093728"/>
        <c:axId val="434103528"/>
      </c:barChart>
      <c:catAx>
        <c:axId val="434093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103528"/>
        <c:crosses val="autoZero"/>
        <c:auto val="1"/>
        <c:lblAlgn val="ctr"/>
        <c:lblOffset val="100"/>
        <c:noMultiLvlLbl val="0"/>
      </c:catAx>
      <c:valAx>
        <c:axId val="43410352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CONSUMPTION ltr</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09372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189" l="0.70000000000000062" r="0.70000000000000062" t="0.75000000000000189"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Nchwaning II Drill Shop (UG5)S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307885896978927"/>
          <c:y val="1.2813689627379261E-2"/>
          <c:w val="0.86497326723048773"/>
          <c:h val="0.75748031496062951"/>
        </c:manualLayout>
      </c:layout>
      <c:barChart>
        <c:barDir val="col"/>
        <c:grouping val="clustered"/>
        <c:varyColors val="0"/>
        <c:ser>
          <c:idx val="0"/>
          <c:order val="0"/>
          <c:tx>
            <c:v>Azolla ZS 68</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[2]Blackrock!$E$78:$E$82</c:f>
              <c:strCache>
                <c:ptCount val="5"/>
                <c:pt idx="0">
                  <c:v>RT0038</c:v>
                </c:pt>
                <c:pt idx="1">
                  <c:v>UV0087</c:v>
                </c:pt>
                <c:pt idx="2">
                  <c:v>HD0046</c:v>
                </c:pt>
                <c:pt idx="3">
                  <c:v>HD0067</c:v>
                </c:pt>
                <c:pt idx="4">
                  <c:v>UV0069 SCM008</c:v>
                </c:pt>
              </c:strCache>
            </c:strRef>
          </c:cat>
          <c:val>
            <c:numRef>
              <c:f>[2]Blackrock!$F$78:$F$82</c:f>
              <c:numCache>
                <c:formatCode>General</c:formatCode>
                <c:ptCount val="5"/>
                <c:pt idx="0">
                  <c:v>40</c:v>
                </c:pt>
                <c:pt idx="1">
                  <c:v>73.5</c:v>
                </c:pt>
                <c:pt idx="2">
                  <c:v>35.4</c:v>
                </c:pt>
                <c:pt idx="3">
                  <c:v>173.8</c:v>
                </c:pt>
                <c:pt idx="4">
                  <c:v>276.39999999999998</c:v>
                </c:pt>
              </c:numCache>
            </c:numRef>
          </c:val>
          <c:extLst>
            <c:ext xmlns:c16="http://schemas.microsoft.com/office/drawing/2014/chart" uri="{C3380CC4-5D6E-409C-BE32-E72D297353CC}">
              <c16:uniqueId val="{00000000-EEF3-47BE-9F94-EEE5B7DA0185}"/>
            </c:ext>
          </c:extLst>
        </c:ser>
        <c:ser>
          <c:idx val="1"/>
          <c:order val="1"/>
          <c:tx>
            <c:v>DA85W140</c:v>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[2]Blackrock!$E$78:$E$82</c:f>
              <c:strCache>
                <c:ptCount val="5"/>
                <c:pt idx="0">
                  <c:v>RT0038</c:v>
                </c:pt>
                <c:pt idx="1">
                  <c:v>UV0087</c:v>
                </c:pt>
                <c:pt idx="2">
                  <c:v>HD0046</c:v>
                </c:pt>
                <c:pt idx="3">
                  <c:v>HD0067</c:v>
                </c:pt>
                <c:pt idx="4">
                  <c:v>UV0069 SCM008</c:v>
                </c:pt>
              </c:strCache>
            </c:strRef>
          </c:cat>
          <c:val>
            <c:numRef>
              <c:f>[2]Blackrock!$G$78:$G$82</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EEF3-47BE-9F94-EEE5B7DA0185}"/>
            </c:ext>
          </c:extLst>
        </c:ser>
        <c:ser>
          <c:idx val="2"/>
          <c:order val="2"/>
          <c:tx>
            <c:v>Rubia TIR 7400</c:v>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[2]Blackrock!$E$78:$E$82</c:f>
              <c:strCache>
                <c:ptCount val="5"/>
                <c:pt idx="0">
                  <c:v>RT0038</c:v>
                </c:pt>
                <c:pt idx="1">
                  <c:v>UV0087</c:v>
                </c:pt>
                <c:pt idx="2">
                  <c:v>HD0046</c:v>
                </c:pt>
                <c:pt idx="3">
                  <c:v>HD0067</c:v>
                </c:pt>
                <c:pt idx="4">
                  <c:v>UV0069 SCM008</c:v>
                </c:pt>
              </c:strCache>
            </c:strRef>
          </c:cat>
          <c:val>
            <c:numRef>
              <c:f>[2]Blackrock!$H$78:$H$82</c:f>
              <c:numCache>
                <c:formatCode>General</c:formatCode>
                <c:ptCount val="5"/>
                <c:pt idx="0">
                  <c:v>0</c:v>
                </c:pt>
                <c:pt idx="1">
                  <c:v>0.6</c:v>
                </c:pt>
                <c:pt idx="2">
                  <c:v>0</c:v>
                </c:pt>
                <c:pt idx="3">
                  <c:v>0</c:v>
                </c:pt>
                <c:pt idx="4">
                  <c:v>0</c:v>
                </c:pt>
              </c:numCache>
            </c:numRef>
          </c:val>
          <c:extLst>
            <c:ext xmlns:c16="http://schemas.microsoft.com/office/drawing/2014/chart" uri="{C3380CC4-5D6E-409C-BE32-E72D297353CC}">
              <c16:uniqueId val="{00000002-EEF3-47BE-9F94-EEE5B7DA0185}"/>
            </c:ext>
          </c:extLst>
        </c:ser>
        <c:ser>
          <c:idx val="3"/>
          <c:order val="3"/>
          <c:tx>
            <c:v>Multagri Super</c:v>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[2]Blackrock!$E$78:$E$82</c:f>
              <c:strCache>
                <c:ptCount val="5"/>
                <c:pt idx="0">
                  <c:v>RT0038</c:v>
                </c:pt>
                <c:pt idx="1">
                  <c:v>UV0087</c:v>
                </c:pt>
                <c:pt idx="2">
                  <c:v>HD0046</c:v>
                </c:pt>
                <c:pt idx="3">
                  <c:v>HD0067</c:v>
                </c:pt>
                <c:pt idx="4">
                  <c:v>UV0069 SCM008</c:v>
                </c:pt>
              </c:strCache>
            </c:strRef>
          </c:cat>
          <c:val>
            <c:numRef>
              <c:f>[2]Blackrock!$I$78:$I$82</c:f>
              <c:numCache>
                <c:formatCode>General</c:formatCode>
                <c:ptCount val="5"/>
                <c:pt idx="0">
                  <c:v>0</c:v>
                </c:pt>
                <c:pt idx="1">
                  <c:v>16.5</c:v>
                </c:pt>
                <c:pt idx="2">
                  <c:v>0</c:v>
                </c:pt>
                <c:pt idx="3">
                  <c:v>0</c:v>
                </c:pt>
                <c:pt idx="4">
                  <c:v>0</c:v>
                </c:pt>
              </c:numCache>
            </c:numRef>
          </c:val>
          <c:extLst>
            <c:ext xmlns:c16="http://schemas.microsoft.com/office/drawing/2014/chart" uri="{C3380CC4-5D6E-409C-BE32-E72D297353CC}">
              <c16:uniqueId val="{00000003-EEF3-47BE-9F94-EEE5B7DA0185}"/>
            </c:ext>
          </c:extLst>
        </c:ser>
        <c:ser>
          <c:idx val="4"/>
          <c:order val="4"/>
          <c:tx>
            <c:v>Trans AC5</c:v>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[2]Blackrock!$E$78:$E$82</c:f>
              <c:strCache>
                <c:ptCount val="5"/>
                <c:pt idx="0">
                  <c:v>RT0038</c:v>
                </c:pt>
                <c:pt idx="1">
                  <c:v>UV0087</c:v>
                </c:pt>
                <c:pt idx="2">
                  <c:v>HD0046</c:v>
                </c:pt>
                <c:pt idx="3">
                  <c:v>HD0067</c:v>
                </c:pt>
                <c:pt idx="4">
                  <c:v>UV0069 SCM008</c:v>
                </c:pt>
              </c:strCache>
            </c:strRef>
          </c:cat>
          <c:val>
            <c:numRef>
              <c:f>[2]Blackrock!$J$78:$J$82</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4-EEF3-47BE-9F94-EEE5B7DA0185}"/>
            </c:ext>
          </c:extLst>
        </c:ser>
        <c:ser>
          <c:idx val="5"/>
          <c:order val="5"/>
          <c:tx>
            <c:v>Rubia TIR 8600</c:v>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[2]Blackrock!$E$78:$E$82</c:f>
              <c:strCache>
                <c:ptCount val="5"/>
                <c:pt idx="0">
                  <c:v>RT0038</c:v>
                </c:pt>
                <c:pt idx="1">
                  <c:v>UV0087</c:v>
                </c:pt>
                <c:pt idx="2">
                  <c:v>HD0046</c:v>
                </c:pt>
                <c:pt idx="3">
                  <c:v>HD0067</c:v>
                </c:pt>
                <c:pt idx="4">
                  <c:v>UV0069 SCM008</c:v>
                </c:pt>
              </c:strCache>
            </c:strRef>
          </c:cat>
          <c:val>
            <c:numRef>
              <c:f>[2]Blackrock!$K$78:$K$82</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5-EEF3-47BE-9F94-EEE5B7DA0185}"/>
            </c:ext>
          </c:extLst>
        </c:ser>
        <c:ser>
          <c:idx val="6"/>
          <c:order val="6"/>
          <c:tx>
            <c:v>Trans AC3</c:v>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[2]Blackrock!$E$78:$E$82</c:f>
              <c:strCache>
                <c:ptCount val="5"/>
                <c:pt idx="0">
                  <c:v>RT0038</c:v>
                </c:pt>
                <c:pt idx="1">
                  <c:v>UV0087</c:v>
                </c:pt>
                <c:pt idx="2">
                  <c:v>HD0046</c:v>
                </c:pt>
                <c:pt idx="3">
                  <c:v>HD0067</c:v>
                </c:pt>
                <c:pt idx="4">
                  <c:v>UV0069 SCM008</c:v>
                </c:pt>
              </c:strCache>
            </c:strRef>
          </c:cat>
          <c:val>
            <c:numRef>
              <c:f>[2]Blackrock!$L$78:$L$82</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6-EEF3-47BE-9F94-EEE5B7DA0185}"/>
            </c:ext>
          </c:extLst>
        </c:ser>
        <c:ser>
          <c:idx val="7"/>
          <c:order val="7"/>
          <c:tx>
            <c:v>Trans MP210</c:v>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[2]Blackrock!$E$78:$E$82</c:f>
              <c:strCache>
                <c:ptCount val="5"/>
                <c:pt idx="0">
                  <c:v>RT0038</c:v>
                </c:pt>
                <c:pt idx="1">
                  <c:v>UV0087</c:v>
                </c:pt>
                <c:pt idx="2">
                  <c:v>HD0046</c:v>
                </c:pt>
                <c:pt idx="3">
                  <c:v>HD0067</c:v>
                </c:pt>
                <c:pt idx="4">
                  <c:v>UV0069 SCM008</c:v>
                </c:pt>
              </c:strCache>
            </c:strRef>
          </c:cat>
          <c:val>
            <c:numRef>
              <c:f>[2]Blackrock!$M$78:$M$82</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7-EEF3-47BE-9F94-EEE5B7DA0185}"/>
            </c:ext>
          </c:extLst>
        </c:ser>
        <c:dLbls>
          <c:showLegendKey val="0"/>
          <c:showVal val="0"/>
          <c:showCatName val="0"/>
          <c:showSerName val="0"/>
          <c:showPercent val="0"/>
          <c:showBubbleSize val="0"/>
        </c:dLbls>
        <c:gapWidth val="100"/>
        <c:overlap val="-24"/>
        <c:axId val="434093728"/>
        <c:axId val="434103528"/>
      </c:barChart>
      <c:catAx>
        <c:axId val="434093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103528"/>
        <c:crosses val="autoZero"/>
        <c:auto val="1"/>
        <c:lblAlgn val="ctr"/>
        <c:lblOffset val="100"/>
        <c:noMultiLvlLbl val="0"/>
      </c:catAx>
      <c:valAx>
        <c:axId val="43410352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CONSUMPTION ltr</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09372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189" l="0.70000000000000062" r="0.70000000000000062" t="0.75000000000000189"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5" cy="172227"/>
    <xdr:sp macro="" textlink="">
      <xdr:nvSpPr>
        <xdr:cNvPr id="9" name="TextBox 8">
          <a:extLst>
            <a:ext uri="{FF2B5EF4-FFF2-40B4-BE49-F238E27FC236}">
              <a16:creationId xmlns:a16="http://schemas.microsoft.com/office/drawing/2014/main" id="{00000000-0008-0000-0000-000003000000}"/>
            </a:ext>
          </a:extLst>
        </xdr:cNvPr>
        <xdr:cNvSpPr txBox="1"/>
      </xdr:nvSpPr>
      <xdr:spPr>
        <a:xfrm>
          <a:off x="8321040" y="3557968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19" name="TextBox 18">
          <a:extLst>
            <a:ext uri="{FF2B5EF4-FFF2-40B4-BE49-F238E27FC236}">
              <a16:creationId xmlns:a16="http://schemas.microsoft.com/office/drawing/2014/main" id="{00000000-0008-0000-0000-000003000000}"/>
            </a:ext>
          </a:extLst>
        </xdr:cNvPr>
        <xdr:cNvSpPr txBox="1"/>
      </xdr:nvSpPr>
      <xdr:spPr>
        <a:xfrm>
          <a:off x="8983980" y="3541204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11" name="TextBox 10">
          <a:extLst>
            <a:ext uri="{FF2B5EF4-FFF2-40B4-BE49-F238E27FC236}">
              <a16:creationId xmlns:a16="http://schemas.microsoft.com/office/drawing/2014/main" id="{00000000-0008-0000-0000-000003000000}"/>
            </a:ext>
          </a:extLst>
        </xdr:cNvPr>
        <xdr:cNvSpPr txBox="1"/>
      </xdr:nvSpPr>
      <xdr:spPr>
        <a:xfrm>
          <a:off x="8983980" y="3542728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14" name="TextBox 13">
          <a:extLst>
            <a:ext uri="{FF2B5EF4-FFF2-40B4-BE49-F238E27FC236}">
              <a16:creationId xmlns:a16="http://schemas.microsoft.com/office/drawing/2014/main" id="{00000000-0008-0000-0000-000003000000}"/>
            </a:ext>
          </a:extLst>
        </xdr:cNvPr>
        <xdr:cNvSpPr txBox="1"/>
      </xdr:nvSpPr>
      <xdr:spPr>
        <a:xfrm>
          <a:off x="8983980" y="3538918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25" name="TextBox 24">
          <a:extLst>
            <a:ext uri="{FF2B5EF4-FFF2-40B4-BE49-F238E27FC236}">
              <a16:creationId xmlns:a16="http://schemas.microsoft.com/office/drawing/2014/main" id="{00000000-0008-0000-0000-000003000000}"/>
            </a:ext>
          </a:extLst>
        </xdr:cNvPr>
        <xdr:cNvSpPr txBox="1"/>
      </xdr:nvSpPr>
      <xdr:spPr>
        <a:xfrm>
          <a:off x="8983980" y="3538918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35" name="TextBox 34">
          <a:extLst>
            <a:ext uri="{FF2B5EF4-FFF2-40B4-BE49-F238E27FC236}">
              <a16:creationId xmlns:a16="http://schemas.microsoft.com/office/drawing/2014/main" id="{00000000-0008-0000-0000-000003000000}"/>
            </a:ext>
          </a:extLst>
        </xdr:cNvPr>
        <xdr:cNvSpPr txBox="1"/>
      </xdr:nvSpPr>
      <xdr:spPr>
        <a:xfrm>
          <a:off x="8983980" y="3538918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18" name="TextBox 17">
          <a:extLst>
            <a:ext uri="{FF2B5EF4-FFF2-40B4-BE49-F238E27FC236}">
              <a16:creationId xmlns:a16="http://schemas.microsoft.com/office/drawing/2014/main" id="{00000000-0008-0000-0000-000003000000}"/>
            </a:ext>
          </a:extLst>
        </xdr:cNvPr>
        <xdr:cNvSpPr txBox="1"/>
      </xdr:nvSpPr>
      <xdr:spPr>
        <a:xfrm>
          <a:off x="8983980" y="3539680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30" name="TextBox 29">
          <a:extLst>
            <a:ext uri="{FF2B5EF4-FFF2-40B4-BE49-F238E27FC236}">
              <a16:creationId xmlns:a16="http://schemas.microsoft.com/office/drawing/2014/main" id="{00000000-0008-0000-0000-000003000000}"/>
            </a:ext>
          </a:extLst>
        </xdr:cNvPr>
        <xdr:cNvSpPr txBox="1"/>
      </xdr:nvSpPr>
      <xdr:spPr>
        <a:xfrm>
          <a:off x="8983980" y="3539680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40" name="TextBox 39">
          <a:extLst>
            <a:ext uri="{FF2B5EF4-FFF2-40B4-BE49-F238E27FC236}">
              <a16:creationId xmlns:a16="http://schemas.microsoft.com/office/drawing/2014/main" id="{00000000-0008-0000-0000-000003000000}"/>
            </a:ext>
          </a:extLst>
        </xdr:cNvPr>
        <xdr:cNvSpPr txBox="1"/>
      </xdr:nvSpPr>
      <xdr:spPr>
        <a:xfrm>
          <a:off x="8983980" y="3538918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28" name="TextBox 27">
          <a:extLst>
            <a:ext uri="{FF2B5EF4-FFF2-40B4-BE49-F238E27FC236}">
              <a16:creationId xmlns:a16="http://schemas.microsoft.com/office/drawing/2014/main" id="{00000000-0008-0000-0000-000003000000}"/>
            </a:ext>
          </a:extLst>
        </xdr:cNvPr>
        <xdr:cNvSpPr txBox="1"/>
      </xdr:nvSpPr>
      <xdr:spPr>
        <a:xfrm>
          <a:off x="8983980" y="3538918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24" name="TextBox 23">
          <a:extLst>
            <a:ext uri="{FF2B5EF4-FFF2-40B4-BE49-F238E27FC236}">
              <a16:creationId xmlns:a16="http://schemas.microsoft.com/office/drawing/2014/main" id="{00000000-0008-0000-0000-000003000000}"/>
            </a:ext>
          </a:extLst>
        </xdr:cNvPr>
        <xdr:cNvSpPr txBox="1"/>
      </xdr:nvSpPr>
      <xdr:spPr>
        <a:xfrm>
          <a:off x="8983980" y="3538918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32" name="TextBox 31">
          <a:extLst>
            <a:ext uri="{FF2B5EF4-FFF2-40B4-BE49-F238E27FC236}">
              <a16:creationId xmlns:a16="http://schemas.microsoft.com/office/drawing/2014/main" id="{00000000-0008-0000-0000-000003000000}"/>
            </a:ext>
          </a:extLst>
        </xdr:cNvPr>
        <xdr:cNvSpPr txBox="1"/>
      </xdr:nvSpPr>
      <xdr:spPr>
        <a:xfrm>
          <a:off x="8983980" y="3538918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26" name="TextBox 25">
          <a:extLst>
            <a:ext uri="{FF2B5EF4-FFF2-40B4-BE49-F238E27FC236}">
              <a16:creationId xmlns:a16="http://schemas.microsoft.com/office/drawing/2014/main" id="{00000000-0008-0000-0000-000003000000}"/>
            </a:ext>
          </a:extLst>
        </xdr:cNvPr>
        <xdr:cNvSpPr txBox="1"/>
      </xdr:nvSpPr>
      <xdr:spPr>
        <a:xfrm>
          <a:off x="8983980" y="340156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27" name="TextBox 26">
          <a:extLst>
            <a:ext uri="{FF2B5EF4-FFF2-40B4-BE49-F238E27FC236}">
              <a16:creationId xmlns:a16="http://schemas.microsoft.com/office/drawing/2014/main" id="{00000000-0008-0000-0000-000003000000}"/>
            </a:ext>
          </a:extLst>
        </xdr:cNvPr>
        <xdr:cNvSpPr txBox="1"/>
      </xdr:nvSpPr>
      <xdr:spPr>
        <a:xfrm>
          <a:off x="8983980" y="33825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31" name="TextBox 30">
          <a:extLst>
            <a:ext uri="{FF2B5EF4-FFF2-40B4-BE49-F238E27FC236}">
              <a16:creationId xmlns:a16="http://schemas.microsoft.com/office/drawing/2014/main" id="{00000000-0008-0000-0000-000003000000}"/>
            </a:ext>
          </a:extLst>
        </xdr:cNvPr>
        <xdr:cNvSpPr txBox="1"/>
      </xdr:nvSpPr>
      <xdr:spPr>
        <a:xfrm>
          <a:off x="8983980" y="33787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219852"/>
    <xdr:sp macro="" textlink="">
      <xdr:nvSpPr>
        <xdr:cNvPr id="44" name="TextBox 43"/>
        <xdr:cNvSpPr txBox="1"/>
      </xdr:nvSpPr>
      <xdr:spPr>
        <a:xfrm>
          <a:off x="8983980" y="33726120"/>
          <a:ext cx="65" cy="219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51" name="TextBox 50">
          <a:extLst>
            <a:ext uri="{FF2B5EF4-FFF2-40B4-BE49-F238E27FC236}">
              <a16:creationId xmlns:a16="http://schemas.microsoft.com/office/drawing/2014/main" id="{00000000-0008-0000-0000-000003000000}"/>
            </a:ext>
          </a:extLst>
        </xdr:cNvPr>
        <xdr:cNvSpPr txBox="1"/>
      </xdr:nvSpPr>
      <xdr:spPr>
        <a:xfrm>
          <a:off x="8983980" y="33787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45" name="TextBox 44">
          <a:extLst>
            <a:ext uri="{FF2B5EF4-FFF2-40B4-BE49-F238E27FC236}">
              <a16:creationId xmlns:a16="http://schemas.microsoft.com/office/drawing/2014/main" id="{00000000-0008-0000-0000-000003000000}"/>
            </a:ext>
          </a:extLst>
        </xdr:cNvPr>
        <xdr:cNvSpPr txBox="1"/>
      </xdr:nvSpPr>
      <xdr:spPr>
        <a:xfrm>
          <a:off x="8983980" y="339699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36" name="TextBox 35">
          <a:extLst>
            <a:ext uri="{FF2B5EF4-FFF2-40B4-BE49-F238E27FC236}">
              <a16:creationId xmlns:a16="http://schemas.microsoft.com/office/drawing/2014/main" id="{00000000-0008-0000-0000-000003000000}"/>
            </a:ext>
          </a:extLst>
        </xdr:cNvPr>
        <xdr:cNvSpPr txBox="1"/>
      </xdr:nvSpPr>
      <xdr:spPr>
        <a:xfrm>
          <a:off x="8983980" y="335584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0</xdr:row>
      <xdr:rowOff>0</xdr:rowOff>
    </xdr:from>
    <xdr:ext cx="65" cy="172227"/>
    <xdr:sp macro="" textlink="">
      <xdr:nvSpPr>
        <xdr:cNvPr id="49" name="TextBox 48">
          <a:extLst>
            <a:ext uri="{FF2B5EF4-FFF2-40B4-BE49-F238E27FC236}">
              <a16:creationId xmlns:a16="http://schemas.microsoft.com/office/drawing/2014/main" id="{00000000-0008-0000-0000-000003000000}"/>
            </a:ext>
          </a:extLst>
        </xdr:cNvPr>
        <xdr:cNvSpPr txBox="1"/>
      </xdr:nvSpPr>
      <xdr:spPr>
        <a:xfrm>
          <a:off x="8983980" y="335584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47625</xdr:rowOff>
    </xdr:from>
    <xdr:ext cx="65" cy="172227"/>
    <xdr:sp macro="" textlink="">
      <xdr:nvSpPr>
        <xdr:cNvPr id="56" name="TextBox 55">
          <a:extLst>
            <a:ext uri="{FF2B5EF4-FFF2-40B4-BE49-F238E27FC236}">
              <a16:creationId xmlns:a16="http://schemas.microsoft.com/office/drawing/2014/main" id="{00000000-0008-0000-0000-000003000000}"/>
            </a:ext>
          </a:extLst>
        </xdr:cNvPr>
        <xdr:cNvSpPr txBox="1"/>
      </xdr:nvSpPr>
      <xdr:spPr>
        <a:xfrm>
          <a:off x="8983980" y="335584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47625</xdr:rowOff>
    </xdr:from>
    <xdr:ext cx="65" cy="172227"/>
    <xdr:sp macro="" textlink="">
      <xdr:nvSpPr>
        <xdr:cNvPr id="41" name="TextBox 40">
          <a:extLst>
            <a:ext uri="{FF2B5EF4-FFF2-40B4-BE49-F238E27FC236}">
              <a16:creationId xmlns:a16="http://schemas.microsoft.com/office/drawing/2014/main" id="{00000000-0008-0000-0000-000003000000}"/>
            </a:ext>
          </a:extLst>
        </xdr:cNvPr>
        <xdr:cNvSpPr txBox="1"/>
      </xdr:nvSpPr>
      <xdr:spPr>
        <a:xfrm>
          <a:off x="898398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37" name="TextBox 36"/>
        <xdr:cNvSpPr txBox="1"/>
      </xdr:nvSpPr>
      <xdr:spPr>
        <a:xfrm>
          <a:off x="8267700" y="331012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39" name="TextBox 38">
          <a:extLst>
            <a:ext uri="{FF2B5EF4-FFF2-40B4-BE49-F238E27FC236}">
              <a16:creationId xmlns:a16="http://schemas.microsoft.com/office/drawing/2014/main" id="{00000000-0008-0000-0000-000007000000}"/>
            </a:ext>
          </a:extLst>
        </xdr:cNvPr>
        <xdr:cNvSpPr txBox="1"/>
      </xdr:nvSpPr>
      <xdr:spPr>
        <a:xfrm>
          <a:off x="8267700" y="329793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81</xdr:row>
      <xdr:rowOff>0</xdr:rowOff>
    </xdr:from>
    <xdr:ext cx="65" cy="172227"/>
    <xdr:sp macro="" textlink="">
      <xdr:nvSpPr>
        <xdr:cNvPr id="42" name="TextBox 41">
          <a:extLst>
            <a:ext uri="{FF2B5EF4-FFF2-40B4-BE49-F238E27FC236}">
              <a16:creationId xmlns:a16="http://schemas.microsoft.com/office/drawing/2014/main" id="{00000000-0008-0000-0000-000007000000}"/>
            </a:ext>
          </a:extLst>
        </xdr:cNvPr>
        <xdr:cNvSpPr txBox="1"/>
      </xdr:nvSpPr>
      <xdr:spPr>
        <a:xfrm>
          <a:off x="8267700" y="3263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48" name="TextBox 47">
          <a:extLst>
            <a:ext uri="{FF2B5EF4-FFF2-40B4-BE49-F238E27FC236}">
              <a16:creationId xmlns:a16="http://schemas.microsoft.com/office/drawing/2014/main" id="{00000000-0008-0000-0000-000007000000}"/>
            </a:ext>
          </a:extLst>
        </xdr:cNvPr>
        <xdr:cNvSpPr txBox="1"/>
      </xdr:nvSpPr>
      <xdr:spPr>
        <a:xfrm>
          <a:off x="8267700" y="3283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81</xdr:row>
      <xdr:rowOff>0</xdr:rowOff>
    </xdr:from>
    <xdr:ext cx="65" cy="172227"/>
    <xdr:sp macro="" textlink="">
      <xdr:nvSpPr>
        <xdr:cNvPr id="54" name="TextBox 53">
          <a:extLst>
            <a:ext uri="{FF2B5EF4-FFF2-40B4-BE49-F238E27FC236}">
              <a16:creationId xmlns:a16="http://schemas.microsoft.com/office/drawing/2014/main" id="{00000000-0008-0000-0000-000007000000}"/>
            </a:ext>
          </a:extLst>
        </xdr:cNvPr>
        <xdr:cNvSpPr txBox="1"/>
      </xdr:nvSpPr>
      <xdr:spPr>
        <a:xfrm>
          <a:off x="8267700" y="3263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59" name="TextBox 58">
          <a:extLst>
            <a:ext uri="{FF2B5EF4-FFF2-40B4-BE49-F238E27FC236}">
              <a16:creationId xmlns:a16="http://schemas.microsoft.com/office/drawing/2014/main" id="{00000000-0008-0000-0000-000007000000}"/>
            </a:ext>
          </a:extLst>
        </xdr:cNvPr>
        <xdr:cNvSpPr txBox="1"/>
      </xdr:nvSpPr>
      <xdr:spPr>
        <a:xfrm>
          <a:off x="8267700" y="3283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35523" cy="172227"/>
    <xdr:sp macro="" textlink="">
      <xdr:nvSpPr>
        <xdr:cNvPr id="47" name="TextBox 46">
          <a:extLst>
            <a:ext uri="{FF2B5EF4-FFF2-40B4-BE49-F238E27FC236}">
              <a16:creationId xmlns:a16="http://schemas.microsoft.com/office/drawing/2014/main" id="{00000000-0008-0000-0000-000007000000}"/>
            </a:ext>
          </a:extLst>
        </xdr:cNvPr>
        <xdr:cNvSpPr txBox="1"/>
      </xdr:nvSpPr>
      <xdr:spPr>
        <a:xfrm>
          <a:off x="0" y="18228733"/>
          <a:ext cx="3552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ZA" sz="1100" b="0" i="0" u="none" strike="noStrike">
              <a:solidFill>
                <a:schemeClr val="tx1"/>
              </a:solidFill>
              <a:effectLst/>
              <a:latin typeface="+mn-lt"/>
              <a:ea typeface="+mn-ea"/>
              <a:cs typeface="+mn-cs"/>
            </a:rPr>
            <a:t>I</a:t>
          </a:r>
          <a:endParaRPr lang="en-ZA" sz="1100"/>
        </a:p>
      </xdr:txBody>
    </xdr:sp>
    <xdr:clientData/>
  </xdr:oneCellAnchor>
  <xdr:oneCellAnchor>
    <xdr:from>
      <xdr:col>0</xdr:col>
      <xdr:colOff>0</xdr:colOff>
      <xdr:row>83</xdr:row>
      <xdr:rowOff>0</xdr:rowOff>
    </xdr:from>
    <xdr:ext cx="65" cy="172227"/>
    <xdr:sp macro="" textlink="">
      <xdr:nvSpPr>
        <xdr:cNvPr id="63" name="TextBox 62">
          <a:extLst>
            <a:ext uri="{FF2B5EF4-FFF2-40B4-BE49-F238E27FC236}">
              <a16:creationId xmlns:a16="http://schemas.microsoft.com/office/drawing/2014/main" id="{00000000-0008-0000-0000-000007000000}"/>
            </a:ext>
          </a:extLst>
        </xdr:cNvPr>
        <xdr:cNvSpPr txBox="1"/>
      </xdr:nvSpPr>
      <xdr:spPr>
        <a:xfrm>
          <a:off x="8267700" y="3303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55" name="TextBox 54">
          <a:extLst>
            <a:ext uri="{FF2B5EF4-FFF2-40B4-BE49-F238E27FC236}">
              <a16:creationId xmlns:a16="http://schemas.microsoft.com/office/drawing/2014/main" id="{00000000-0008-0000-0000-000007000000}"/>
            </a:ext>
          </a:extLst>
        </xdr:cNvPr>
        <xdr:cNvSpPr txBox="1"/>
      </xdr:nvSpPr>
      <xdr:spPr>
        <a:xfrm>
          <a:off x="8267700" y="33017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64" name="TextBox 63">
          <a:extLst>
            <a:ext uri="{FF2B5EF4-FFF2-40B4-BE49-F238E27FC236}">
              <a16:creationId xmlns:a16="http://schemas.microsoft.com/office/drawing/2014/main" id="{00000000-0008-0000-0000-000007000000}"/>
            </a:ext>
          </a:extLst>
        </xdr:cNvPr>
        <xdr:cNvSpPr txBox="1"/>
      </xdr:nvSpPr>
      <xdr:spPr>
        <a:xfrm>
          <a:off x="8267700" y="33017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65" name="TextBox 64">
          <a:extLst>
            <a:ext uri="{FF2B5EF4-FFF2-40B4-BE49-F238E27FC236}">
              <a16:creationId xmlns:a16="http://schemas.microsoft.com/office/drawing/2014/main" id="{00000000-0008-0000-0000-000007000000}"/>
            </a:ext>
          </a:extLst>
        </xdr:cNvPr>
        <xdr:cNvSpPr txBox="1"/>
      </xdr:nvSpPr>
      <xdr:spPr>
        <a:xfrm>
          <a:off x="8267700" y="33215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66" name="TextBox 65">
          <a:extLst>
            <a:ext uri="{FF2B5EF4-FFF2-40B4-BE49-F238E27FC236}">
              <a16:creationId xmlns:a16="http://schemas.microsoft.com/office/drawing/2014/main" id="{00000000-0008-0000-0000-000007000000}"/>
            </a:ext>
          </a:extLst>
        </xdr:cNvPr>
        <xdr:cNvSpPr txBox="1"/>
      </xdr:nvSpPr>
      <xdr:spPr>
        <a:xfrm>
          <a:off x="8267700" y="33215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67" name="TextBox 66">
          <a:extLst>
            <a:ext uri="{FF2B5EF4-FFF2-40B4-BE49-F238E27FC236}">
              <a16:creationId xmlns:a16="http://schemas.microsoft.com/office/drawing/2014/main" id="{00000000-0008-0000-0000-000007000000}"/>
            </a:ext>
          </a:extLst>
        </xdr:cNvPr>
        <xdr:cNvSpPr txBox="1"/>
      </xdr:nvSpPr>
      <xdr:spPr>
        <a:xfrm>
          <a:off x="8267700" y="33413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68" name="TextBox 67">
          <a:extLst>
            <a:ext uri="{FF2B5EF4-FFF2-40B4-BE49-F238E27FC236}">
              <a16:creationId xmlns:a16="http://schemas.microsoft.com/office/drawing/2014/main" id="{00000000-0008-0000-0000-000007000000}"/>
            </a:ext>
          </a:extLst>
        </xdr:cNvPr>
        <xdr:cNvSpPr txBox="1"/>
      </xdr:nvSpPr>
      <xdr:spPr>
        <a:xfrm>
          <a:off x="8267700" y="33413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69" name="TextBox 68">
          <a:extLst>
            <a:ext uri="{FF2B5EF4-FFF2-40B4-BE49-F238E27FC236}">
              <a16:creationId xmlns:a16="http://schemas.microsoft.com/office/drawing/2014/main" id="{00000000-0008-0000-0000-000007000000}"/>
            </a:ext>
          </a:extLst>
        </xdr:cNvPr>
        <xdr:cNvSpPr txBox="1"/>
      </xdr:nvSpPr>
      <xdr:spPr>
        <a:xfrm>
          <a:off x="8267700" y="33611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70" name="TextBox 69">
          <a:extLst>
            <a:ext uri="{FF2B5EF4-FFF2-40B4-BE49-F238E27FC236}">
              <a16:creationId xmlns:a16="http://schemas.microsoft.com/office/drawing/2014/main" id="{00000000-0008-0000-0000-000007000000}"/>
            </a:ext>
          </a:extLst>
        </xdr:cNvPr>
        <xdr:cNvSpPr txBox="1"/>
      </xdr:nvSpPr>
      <xdr:spPr>
        <a:xfrm>
          <a:off x="8267700" y="33611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1" name="TextBox 70">
          <a:extLst>
            <a:ext uri="{FF2B5EF4-FFF2-40B4-BE49-F238E27FC236}">
              <a16:creationId xmlns:a16="http://schemas.microsoft.com/office/drawing/2014/main" id="{00000000-0008-0000-0000-000007000000}"/>
            </a:ext>
          </a:extLst>
        </xdr:cNvPr>
        <xdr:cNvSpPr txBox="1"/>
      </xdr:nvSpPr>
      <xdr:spPr>
        <a:xfrm>
          <a:off x="8267700" y="33809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2" name="TextBox 71">
          <a:extLst>
            <a:ext uri="{FF2B5EF4-FFF2-40B4-BE49-F238E27FC236}">
              <a16:creationId xmlns:a16="http://schemas.microsoft.com/office/drawing/2014/main" id="{00000000-0008-0000-0000-000007000000}"/>
            </a:ext>
          </a:extLst>
        </xdr:cNvPr>
        <xdr:cNvSpPr txBox="1"/>
      </xdr:nvSpPr>
      <xdr:spPr>
        <a:xfrm>
          <a:off x="8267700" y="33809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73" name="TextBox 72">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74" name="TextBox 73">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75" name="TextBox 74">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76" name="TextBox 75">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77" name="TextBox 76">
          <a:extLst>
            <a:ext uri="{FF2B5EF4-FFF2-40B4-BE49-F238E27FC236}">
              <a16:creationId xmlns:a16="http://schemas.microsoft.com/office/drawing/2014/main" id="{00000000-0008-0000-0000-000007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78" name="TextBox 77">
          <a:extLst>
            <a:ext uri="{FF2B5EF4-FFF2-40B4-BE49-F238E27FC236}">
              <a16:creationId xmlns:a16="http://schemas.microsoft.com/office/drawing/2014/main" id="{00000000-0008-0000-0000-000007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79" name="TextBox 78">
          <a:extLst>
            <a:ext uri="{FF2B5EF4-FFF2-40B4-BE49-F238E27FC236}">
              <a16:creationId xmlns:a16="http://schemas.microsoft.com/office/drawing/2014/main" id="{00000000-0008-0000-0000-000007000000}"/>
            </a:ext>
          </a:extLst>
        </xdr:cNvPr>
        <xdr:cNvSpPr txBox="1"/>
      </xdr:nvSpPr>
      <xdr:spPr>
        <a:xfrm>
          <a:off x="8267700" y="3455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80" name="TextBox 79">
          <a:extLst>
            <a:ext uri="{FF2B5EF4-FFF2-40B4-BE49-F238E27FC236}">
              <a16:creationId xmlns:a16="http://schemas.microsoft.com/office/drawing/2014/main" id="{00000000-0008-0000-0000-000007000000}"/>
            </a:ext>
          </a:extLst>
        </xdr:cNvPr>
        <xdr:cNvSpPr txBox="1"/>
      </xdr:nvSpPr>
      <xdr:spPr>
        <a:xfrm>
          <a:off x="8267700" y="3455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81" name="TextBox 80">
          <a:extLst>
            <a:ext uri="{FF2B5EF4-FFF2-40B4-BE49-F238E27FC236}">
              <a16:creationId xmlns:a16="http://schemas.microsoft.com/office/drawing/2014/main" id="{00000000-0008-0000-0000-00000700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82" name="TextBox 81">
          <a:extLst>
            <a:ext uri="{FF2B5EF4-FFF2-40B4-BE49-F238E27FC236}">
              <a16:creationId xmlns:a16="http://schemas.microsoft.com/office/drawing/2014/main" id="{00000000-0008-0000-0000-00000700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97</xdr:row>
      <xdr:rowOff>0</xdr:rowOff>
    </xdr:from>
    <xdr:ext cx="65" cy="172227"/>
    <xdr:sp macro="" textlink="">
      <xdr:nvSpPr>
        <xdr:cNvPr id="83" name="TextBox 82">
          <a:extLst>
            <a:ext uri="{FF2B5EF4-FFF2-40B4-BE49-F238E27FC236}">
              <a16:creationId xmlns:a16="http://schemas.microsoft.com/office/drawing/2014/main" id="{00000000-0008-0000-0000-000007000000}"/>
            </a:ext>
          </a:extLst>
        </xdr:cNvPr>
        <xdr:cNvSpPr txBox="1"/>
      </xdr:nvSpPr>
      <xdr:spPr>
        <a:xfrm>
          <a:off x="8267700" y="35836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97</xdr:row>
      <xdr:rowOff>0</xdr:rowOff>
    </xdr:from>
    <xdr:ext cx="65" cy="172227"/>
    <xdr:sp macro="" textlink="">
      <xdr:nvSpPr>
        <xdr:cNvPr id="84" name="TextBox 83">
          <a:extLst>
            <a:ext uri="{FF2B5EF4-FFF2-40B4-BE49-F238E27FC236}">
              <a16:creationId xmlns:a16="http://schemas.microsoft.com/office/drawing/2014/main" id="{00000000-0008-0000-0000-000007000000}"/>
            </a:ext>
          </a:extLst>
        </xdr:cNvPr>
        <xdr:cNvSpPr txBox="1"/>
      </xdr:nvSpPr>
      <xdr:spPr>
        <a:xfrm>
          <a:off x="8267700" y="35836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85" name="TextBox 84">
          <a:extLst>
            <a:ext uri="{FF2B5EF4-FFF2-40B4-BE49-F238E27FC236}">
              <a16:creationId xmlns:a16="http://schemas.microsoft.com/office/drawing/2014/main" id="{00000000-0008-0000-0000-000007000000}"/>
            </a:ext>
          </a:extLst>
        </xdr:cNvPr>
        <xdr:cNvSpPr txBox="1"/>
      </xdr:nvSpPr>
      <xdr:spPr>
        <a:xfrm>
          <a:off x="8267700" y="36019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86" name="TextBox 85">
          <a:extLst>
            <a:ext uri="{FF2B5EF4-FFF2-40B4-BE49-F238E27FC236}">
              <a16:creationId xmlns:a16="http://schemas.microsoft.com/office/drawing/2014/main" id="{00000000-0008-0000-0000-000007000000}"/>
            </a:ext>
          </a:extLst>
        </xdr:cNvPr>
        <xdr:cNvSpPr txBox="1"/>
      </xdr:nvSpPr>
      <xdr:spPr>
        <a:xfrm>
          <a:off x="8267700" y="36019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87" name="TextBox 86">
          <a:extLst>
            <a:ext uri="{FF2B5EF4-FFF2-40B4-BE49-F238E27FC236}">
              <a16:creationId xmlns:a16="http://schemas.microsoft.com/office/drawing/2014/main" id="{00000000-0008-0000-0000-000007000000}"/>
            </a:ext>
          </a:extLst>
        </xdr:cNvPr>
        <xdr:cNvSpPr txBox="1"/>
      </xdr:nvSpPr>
      <xdr:spPr>
        <a:xfrm>
          <a:off x="8267700" y="36202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88" name="TextBox 87">
          <a:extLst>
            <a:ext uri="{FF2B5EF4-FFF2-40B4-BE49-F238E27FC236}">
              <a16:creationId xmlns:a16="http://schemas.microsoft.com/office/drawing/2014/main" id="{00000000-0008-0000-0000-000007000000}"/>
            </a:ext>
          </a:extLst>
        </xdr:cNvPr>
        <xdr:cNvSpPr txBox="1"/>
      </xdr:nvSpPr>
      <xdr:spPr>
        <a:xfrm>
          <a:off x="8267700" y="36202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89" name="TextBox 88">
          <a:extLst>
            <a:ext uri="{FF2B5EF4-FFF2-40B4-BE49-F238E27FC236}">
              <a16:creationId xmlns:a16="http://schemas.microsoft.com/office/drawing/2014/main" id="{00000000-0008-0000-0000-000007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90" name="TextBox 89">
          <a:extLst>
            <a:ext uri="{FF2B5EF4-FFF2-40B4-BE49-F238E27FC236}">
              <a16:creationId xmlns:a16="http://schemas.microsoft.com/office/drawing/2014/main" id="{00000000-0008-0000-0000-000007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91" name="TextBox 90">
          <a:extLst>
            <a:ext uri="{FF2B5EF4-FFF2-40B4-BE49-F238E27FC236}">
              <a16:creationId xmlns:a16="http://schemas.microsoft.com/office/drawing/2014/main" id="{00000000-0008-0000-0000-000007000000}"/>
            </a:ext>
          </a:extLst>
        </xdr:cNvPr>
        <xdr:cNvSpPr txBox="1"/>
      </xdr:nvSpPr>
      <xdr:spPr>
        <a:xfrm>
          <a:off x="8267700" y="36568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92" name="TextBox 91">
          <a:extLst>
            <a:ext uri="{FF2B5EF4-FFF2-40B4-BE49-F238E27FC236}">
              <a16:creationId xmlns:a16="http://schemas.microsoft.com/office/drawing/2014/main" id="{00000000-0008-0000-0000-000007000000}"/>
            </a:ext>
          </a:extLst>
        </xdr:cNvPr>
        <xdr:cNvSpPr txBox="1"/>
      </xdr:nvSpPr>
      <xdr:spPr>
        <a:xfrm>
          <a:off x="8267700" y="36568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107</xdr:row>
      <xdr:rowOff>0</xdr:rowOff>
    </xdr:from>
    <xdr:ext cx="65" cy="172227"/>
    <xdr:sp macro="" textlink="">
      <xdr:nvSpPr>
        <xdr:cNvPr id="93" name="TextBox 92">
          <a:extLst>
            <a:ext uri="{FF2B5EF4-FFF2-40B4-BE49-F238E27FC236}">
              <a16:creationId xmlns:a16="http://schemas.microsoft.com/office/drawing/2014/main" id="{00000000-0008-0000-0000-000007000000}"/>
            </a:ext>
          </a:extLst>
        </xdr:cNvPr>
        <xdr:cNvSpPr txBox="1"/>
      </xdr:nvSpPr>
      <xdr:spPr>
        <a:xfrm>
          <a:off x="8267700" y="3766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107</xdr:row>
      <xdr:rowOff>0</xdr:rowOff>
    </xdr:from>
    <xdr:ext cx="65" cy="172227"/>
    <xdr:sp macro="" textlink="">
      <xdr:nvSpPr>
        <xdr:cNvPr id="94" name="TextBox 93">
          <a:extLst>
            <a:ext uri="{FF2B5EF4-FFF2-40B4-BE49-F238E27FC236}">
              <a16:creationId xmlns:a16="http://schemas.microsoft.com/office/drawing/2014/main" id="{00000000-0008-0000-0000-000007000000}"/>
            </a:ext>
          </a:extLst>
        </xdr:cNvPr>
        <xdr:cNvSpPr txBox="1"/>
      </xdr:nvSpPr>
      <xdr:spPr>
        <a:xfrm>
          <a:off x="8267700" y="3766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95" name="TextBox 94">
          <a:extLst>
            <a:ext uri="{FF2B5EF4-FFF2-40B4-BE49-F238E27FC236}">
              <a16:creationId xmlns:a16="http://schemas.microsoft.com/office/drawing/2014/main" id="{00000000-0008-0000-0000-000007000000}"/>
            </a:ext>
          </a:extLst>
        </xdr:cNvPr>
        <xdr:cNvSpPr txBox="1"/>
      </xdr:nvSpPr>
      <xdr:spPr>
        <a:xfrm>
          <a:off x="8267700" y="3784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96" name="TextBox 95">
          <a:extLst>
            <a:ext uri="{FF2B5EF4-FFF2-40B4-BE49-F238E27FC236}">
              <a16:creationId xmlns:a16="http://schemas.microsoft.com/office/drawing/2014/main" id="{00000000-0008-0000-0000-000007000000}"/>
            </a:ext>
          </a:extLst>
        </xdr:cNvPr>
        <xdr:cNvSpPr txBox="1"/>
      </xdr:nvSpPr>
      <xdr:spPr>
        <a:xfrm>
          <a:off x="8267700" y="3784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97" name="TextBox 96">
          <a:extLst>
            <a:ext uri="{FF2B5EF4-FFF2-40B4-BE49-F238E27FC236}">
              <a16:creationId xmlns:a16="http://schemas.microsoft.com/office/drawing/2014/main" id="{00000000-0008-0000-0000-000007000000}"/>
            </a:ext>
          </a:extLst>
        </xdr:cNvPr>
        <xdr:cNvSpPr txBox="1"/>
      </xdr:nvSpPr>
      <xdr:spPr>
        <a:xfrm>
          <a:off x="8267700" y="38031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98" name="TextBox 97">
          <a:extLst>
            <a:ext uri="{FF2B5EF4-FFF2-40B4-BE49-F238E27FC236}">
              <a16:creationId xmlns:a16="http://schemas.microsoft.com/office/drawing/2014/main" id="{00000000-0008-0000-0000-000007000000}"/>
            </a:ext>
          </a:extLst>
        </xdr:cNvPr>
        <xdr:cNvSpPr txBox="1"/>
      </xdr:nvSpPr>
      <xdr:spPr>
        <a:xfrm>
          <a:off x="8267700" y="38031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99" name="TextBox 98">
          <a:extLst>
            <a:ext uri="{FF2B5EF4-FFF2-40B4-BE49-F238E27FC236}">
              <a16:creationId xmlns:a16="http://schemas.microsoft.com/office/drawing/2014/main" id="{00000000-0008-0000-0000-000007000000}"/>
            </a:ext>
          </a:extLst>
        </xdr:cNvPr>
        <xdr:cNvSpPr txBox="1"/>
      </xdr:nvSpPr>
      <xdr:spPr>
        <a:xfrm>
          <a:off x="8267700" y="3821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00" name="TextBox 99">
          <a:extLst>
            <a:ext uri="{FF2B5EF4-FFF2-40B4-BE49-F238E27FC236}">
              <a16:creationId xmlns:a16="http://schemas.microsoft.com/office/drawing/2014/main" id="{00000000-0008-0000-0000-000007000000}"/>
            </a:ext>
          </a:extLst>
        </xdr:cNvPr>
        <xdr:cNvSpPr txBox="1"/>
      </xdr:nvSpPr>
      <xdr:spPr>
        <a:xfrm>
          <a:off x="8267700" y="3821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01" name="TextBox 100">
          <a:extLst>
            <a:ext uri="{FF2B5EF4-FFF2-40B4-BE49-F238E27FC236}">
              <a16:creationId xmlns:a16="http://schemas.microsoft.com/office/drawing/2014/main" id="{00000000-0008-0000-0000-000007000000}"/>
            </a:ext>
          </a:extLst>
        </xdr:cNvPr>
        <xdr:cNvSpPr txBox="1"/>
      </xdr:nvSpPr>
      <xdr:spPr>
        <a:xfrm>
          <a:off x="826770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02" name="TextBox 101">
          <a:extLst>
            <a:ext uri="{FF2B5EF4-FFF2-40B4-BE49-F238E27FC236}">
              <a16:creationId xmlns:a16="http://schemas.microsoft.com/office/drawing/2014/main" id="{00000000-0008-0000-0000-000007000000}"/>
            </a:ext>
          </a:extLst>
        </xdr:cNvPr>
        <xdr:cNvSpPr txBox="1"/>
      </xdr:nvSpPr>
      <xdr:spPr>
        <a:xfrm>
          <a:off x="826770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117</xdr:row>
      <xdr:rowOff>0</xdr:rowOff>
    </xdr:from>
    <xdr:ext cx="65" cy="172227"/>
    <xdr:sp macro="" textlink="">
      <xdr:nvSpPr>
        <xdr:cNvPr id="103" name="TextBox 102">
          <a:extLst>
            <a:ext uri="{FF2B5EF4-FFF2-40B4-BE49-F238E27FC236}">
              <a16:creationId xmlns:a16="http://schemas.microsoft.com/office/drawing/2014/main" id="{00000000-0008-0000-0000-000007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117</xdr:row>
      <xdr:rowOff>0</xdr:rowOff>
    </xdr:from>
    <xdr:ext cx="65" cy="172227"/>
    <xdr:sp macro="" textlink="">
      <xdr:nvSpPr>
        <xdr:cNvPr id="104" name="TextBox 103">
          <a:extLst>
            <a:ext uri="{FF2B5EF4-FFF2-40B4-BE49-F238E27FC236}">
              <a16:creationId xmlns:a16="http://schemas.microsoft.com/office/drawing/2014/main" id="{00000000-0008-0000-0000-000007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105" name="TextBox 104">
          <a:extLst>
            <a:ext uri="{FF2B5EF4-FFF2-40B4-BE49-F238E27FC236}">
              <a16:creationId xmlns:a16="http://schemas.microsoft.com/office/drawing/2014/main" id="{00000000-0008-0000-0000-000007000000}"/>
            </a:ext>
          </a:extLst>
        </xdr:cNvPr>
        <xdr:cNvSpPr txBox="1"/>
      </xdr:nvSpPr>
      <xdr:spPr>
        <a:xfrm>
          <a:off x="8267700" y="39677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106" name="TextBox 105">
          <a:extLst>
            <a:ext uri="{FF2B5EF4-FFF2-40B4-BE49-F238E27FC236}">
              <a16:creationId xmlns:a16="http://schemas.microsoft.com/office/drawing/2014/main" id="{00000000-0008-0000-0000-000007000000}"/>
            </a:ext>
          </a:extLst>
        </xdr:cNvPr>
        <xdr:cNvSpPr txBox="1"/>
      </xdr:nvSpPr>
      <xdr:spPr>
        <a:xfrm>
          <a:off x="8267700" y="39677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07" name="TextBox 106">
          <a:extLst>
            <a:ext uri="{FF2B5EF4-FFF2-40B4-BE49-F238E27FC236}">
              <a16:creationId xmlns:a16="http://schemas.microsoft.com/office/drawing/2014/main" id="{00000000-0008-0000-0000-000007000000}"/>
            </a:ext>
          </a:extLst>
        </xdr:cNvPr>
        <xdr:cNvSpPr txBox="1"/>
      </xdr:nvSpPr>
      <xdr:spPr>
        <a:xfrm>
          <a:off x="8267700" y="39860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08" name="TextBox 107">
          <a:extLst>
            <a:ext uri="{FF2B5EF4-FFF2-40B4-BE49-F238E27FC236}">
              <a16:creationId xmlns:a16="http://schemas.microsoft.com/office/drawing/2014/main" id="{00000000-0008-0000-0000-000007000000}"/>
            </a:ext>
          </a:extLst>
        </xdr:cNvPr>
        <xdr:cNvSpPr txBox="1"/>
      </xdr:nvSpPr>
      <xdr:spPr>
        <a:xfrm>
          <a:off x="8267700" y="39860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09" name="TextBox 108">
          <a:extLst>
            <a:ext uri="{FF2B5EF4-FFF2-40B4-BE49-F238E27FC236}">
              <a16:creationId xmlns:a16="http://schemas.microsoft.com/office/drawing/2014/main" id="{00000000-0008-0000-0000-000007000000}"/>
            </a:ext>
          </a:extLst>
        </xdr:cNvPr>
        <xdr:cNvSpPr txBox="1"/>
      </xdr:nvSpPr>
      <xdr:spPr>
        <a:xfrm>
          <a:off x="8267700" y="40043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10" name="TextBox 109">
          <a:extLst>
            <a:ext uri="{FF2B5EF4-FFF2-40B4-BE49-F238E27FC236}">
              <a16:creationId xmlns:a16="http://schemas.microsoft.com/office/drawing/2014/main" id="{00000000-0008-0000-0000-000007000000}"/>
            </a:ext>
          </a:extLst>
        </xdr:cNvPr>
        <xdr:cNvSpPr txBox="1"/>
      </xdr:nvSpPr>
      <xdr:spPr>
        <a:xfrm>
          <a:off x="8267700" y="40043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11" name="TextBox 110">
          <a:extLst>
            <a:ext uri="{FF2B5EF4-FFF2-40B4-BE49-F238E27FC236}">
              <a16:creationId xmlns:a16="http://schemas.microsoft.com/office/drawing/2014/main" id="{00000000-0008-0000-0000-000007000000}"/>
            </a:ext>
          </a:extLst>
        </xdr:cNvPr>
        <xdr:cNvSpPr txBox="1"/>
      </xdr:nvSpPr>
      <xdr:spPr>
        <a:xfrm>
          <a:off x="8267700" y="40225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12" name="TextBox 111">
          <a:extLst>
            <a:ext uri="{FF2B5EF4-FFF2-40B4-BE49-F238E27FC236}">
              <a16:creationId xmlns:a16="http://schemas.microsoft.com/office/drawing/2014/main" id="{00000000-0008-0000-0000-000007000000}"/>
            </a:ext>
          </a:extLst>
        </xdr:cNvPr>
        <xdr:cNvSpPr txBox="1"/>
      </xdr:nvSpPr>
      <xdr:spPr>
        <a:xfrm>
          <a:off x="8267700" y="40225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127</xdr:row>
      <xdr:rowOff>0</xdr:rowOff>
    </xdr:from>
    <xdr:ext cx="65" cy="172227"/>
    <xdr:sp macro="" textlink="">
      <xdr:nvSpPr>
        <xdr:cNvPr id="113" name="TextBox 112">
          <a:extLst>
            <a:ext uri="{FF2B5EF4-FFF2-40B4-BE49-F238E27FC236}">
              <a16:creationId xmlns:a16="http://schemas.microsoft.com/office/drawing/2014/main" id="{00000000-0008-0000-0000-000007000000}"/>
            </a:ext>
          </a:extLst>
        </xdr:cNvPr>
        <xdr:cNvSpPr txBox="1"/>
      </xdr:nvSpPr>
      <xdr:spPr>
        <a:xfrm>
          <a:off x="8267700" y="41323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127</xdr:row>
      <xdr:rowOff>0</xdr:rowOff>
    </xdr:from>
    <xdr:ext cx="65" cy="172227"/>
    <xdr:sp macro="" textlink="">
      <xdr:nvSpPr>
        <xdr:cNvPr id="114" name="TextBox 113">
          <a:extLst>
            <a:ext uri="{FF2B5EF4-FFF2-40B4-BE49-F238E27FC236}">
              <a16:creationId xmlns:a16="http://schemas.microsoft.com/office/drawing/2014/main" id="{00000000-0008-0000-0000-000007000000}"/>
            </a:ext>
          </a:extLst>
        </xdr:cNvPr>
        <xdr:cNvSpPr txBox="1"/>
      </xdr:nvSpPr>
      <xdr:spPr>
        <a:xfrm>
          <a:off x="8267700" y="41323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115" name="TextBox 114">
          <a:extLst>
            <a:ext uri="{FF2B5EF4-FFF2-40B4-BE49-F238E27FC236}">
              <a16:creationId xmlns:a16="http://schemas.microsoft.com/office/drawing/2014/main" id="{00000000-0008-0000-0000-000007000000}"/>
            </a:ext>
          </a:extLst>
        </xdr:cNvPr>
        <xdr:cNvSpPr txBox="1"/>
      </xdr:nvSpPr>
      <xdr:spPr>
        <a:xfrm>
          <a:off x="8267700" y="4150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116" name="TextBox 115">
          <a:extLst>
            <a:ext uri="{FF2B5EF4-FFF2-40B4-BE49-F238E27FC236}">
              <a16:creationId xmlns:a16="http://schemas.microsoft.com/office/drawing/2014/main" id="{00000000-0008-0000-0000-000007000000}"/>
            </a:ext>
          </a:extLst>
        </xdr:cNvPr>
        <xdr:cNvSpPr txBox="1"/>
      </xdr:nvSpPr>
      <xdr:spPr>
        <a:xfrm>
          <a:off x="8267700" y="4150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17" name="TextBox 116">
          <a:extLst>
            <a:ext uri="{FF2B5EF4-FFF2-40B4-BE49-F238E27FC236}">
              <a16:creationId xmlns:a16="http://schemas.microsoft.com/office/drawing/2014/main" id="{00000000-0008-0000-0000-000007000000}"/>
            </a:ext>
          </a:extLst>
        </xdr:cNvPr>
        <xdr:cNvSpPr txBox="1"/>
      </xdr:nvSpPr>
      <xdr:spPr>
        <a:xfrm>
          <a:off x="8267700" y="4168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18" name="TextBox 117">
          <a:extLst>
            <a:ext uri="{FF2B5EF4-FFF2-40B4-BE49-F238E27FC236}">
              <a16:creationId xmlns:a16="http://schemas.microsoft.com/office/drawing/2014/main" id="{00000000-0008-0000-0000-000007000000}"/>
            </a:ext>
          </a:extLst>
        </xdr:cNvPr>
        <xdr:cNvSpPr txBox="1"/>
      </xdr:nvSpPr>
      <xdr:spPr>
        <a:xfrm>
          <a:off x="8267700" y="4168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19" name="TextBox 118">
          <a:extLst>
            <a:ext uri="{FF2B5EF4-FFF2-40B4-BE49-F238E27FC236}">
              <a16:creationId xmlns:a16="http://schemas.microsoft.com/office/drawing/2014/main" id="{00000000-0008-0000-0000-000007000000}"/>
            </a:ext>
          </a:extLst>
        </xdr:cNvPr>
        <xdr:cNvSpPr txBox="1"/>
      </xdr:nvSpPr>
      <xdr:spPr>
        <a:xfrm>
          <a:off x="8267700" y="4187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20" name="TextBox 119">
          <a:extLst>
            <a:ext uri="{FF2B5EF4-FFF2-40B4-BE49-F238E27FC236}">
              <a16:creationId xmlns:a16="http://schemas.microsoft.com/office/drawing/2014/main" id="{00000000-0008-0000-0000-000007000000}"/>
            </a:ext>
          </a:extLst>
        </xdr:cNvPr>
        <xdr:cNvSpPr txBox="1"/>
      </xdr:nvSpPr>
      <xdr:spPr>
        <a:xfrm>
          <a:off x="8267700" y="4187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21" name="TextBox 120">
          <a:extLst>
            <a:ext uri="{FF2B5EF4-FFF2-40B4-BE49-F238E27FC236}">
              <a16:creationId xmlns:a16="http://schemas.microsoft.com/office/drawing/2014/main" id="{00000000-0008-0000-0000-000007000000}"/>
            </a:ext>
          </a:extLst>
        </xdr:cNvPr>
        <xdr:cNvSpPr txBox="1"/>
      </xdr:nvSpPr>
      <xdr:spPr>
        <a:xfrm>
          <a:off x="8267700" y="4205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22" name="TextBox 121">
          <a:extLst>
            <a:ext uri="{FF2B5EF4-FFF2-40B4-BE49-F238E27FC236}">
              <a16:creationId xmlns:a16="http://schemas.microsoft.com/office/drawing/2014/main" id="{00000000-0008-0000-0000-000007000000}"/>
            </a:ext>
          </a:extLst>
        </xdr:cNvPr>
        <xdr:cNvSpPr txBox="1"/>
      </xdr:nvSpPr>
      <xdr:spPr>
        <a:xfrm>
          <a:off x="8267700" y="4205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126" name="TextBox 125">
          <a:extLst>
            <a:ext uri="{FF2B5EF4-FFF2-40B4-BE49-F238E27FC236}">
              <a16:creationId xmlns:a16="http://schemas.microsoft.com/office/drawing/2014/main" id="{00000000-0008-0000-0000-000007000000}"/>
            </a:ext>
          </a:extLst>
        </xdr:cNvPr>
        <xdr:cNvSpPr txBox="1"/>
      </xdr:nvSpPr>
      <xdr:spPr>
        <a:xfrm>
          <a:off x="8267700" y="33017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130" name="TextBox 129">
          <a:extLst>
            <a:ext uri="{FF2B5EF4-FFF2-40B4-BE49-F238E27FC236}">
              <a16:creationId xmlns:a16="http://schemas.microsoft.com/office/drawing/2014/main" id="{00000000-0008-0000-0000-000007000000}"/>
            </a:ext>
          </a:extLst>
        </xdr:cNvPr>
        <xdr:cNvSpPr txBox="1"/>
      </xdr:nvSpPr>
      <xdr:spPr>
        <a:xfrm>
          <a:off x="8267700" y="33017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131" name="TextBox 130">
          <a:extLst>
            <a:ext uri="{FF2B5EF4-FFF2-40B4-BE49-F238E27FC236}">
              <a16:creationId xmlns:a16="http://schemas.microsoft.com/office/drawing/2014/main" id="{00000000-0008-0000-0000-000007000000}"/>
            </a:ext>
          </a:extLst>
        </xdr:cNvPr>
        <xdr:cNvSpPr txBox="1"/>
      </xdr:nvSpPr>
      <xdr:spPr>
        <a:xfrm>
          <a:off x="8267700" y="33215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132" name="TextBox 131">
          <a:extLst>
            <a:ext uri="{FF2B5EF4-FFF2-40B4-BE49-F238E27FC236}">
              <a16:creationId xmlns:a16="http://schemas.microsoft.com/office/drawing/2014/main" id="{00000000-0008-0000-0000-000007000000}"/>
            </a:ext>
          </a:extLst>
        </xdr:cNvPr>
        <xdr:cNvSpPr txBox="1"/>
      </xdr:nvSpPr>
      <xdr:spPr>
        <a:xfrm>
          <a:off x="8267700" y="33215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133" name="TextBox 132">
          <a:extLst>
            <a:ext uri="{FF2B5EF4-FFF2-40B4-BE49-F238E27FC236}">
              <a16:creationId xmlns:a16="http://schemas.microsoft.com/office/drawing/2014/main" id="{00000000-0008-0000-0000-000007000000}"/>
            </a:ext>
          </a:extLst>
        </xdr:cNvPr>
        <xdr:cNvSpPr txBox="1"/>
      </xdr:nvSpPr>
      <xdr:spPr>
        <a:xfrm>
          <a:off x="8267700" y="33413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134" name="TextBox 133">
          <a:extLst>
            <a:ext uri="{FF2B5EF4-FFF2-40B4-BE49-F238E27FC236}">
              <a16:creationId xmlns:a16="http://schemas.microsoft.com/office/drawing/2014/main" id="{00000000-0008-0000-0000-000007000000}"/>
            </a:ext>
          </a:extLst>
        </xdr:cNvPr>
        <xdr:cNvSpPr txBox="1"/>
      </xdr:nvSpPr>
      <xdr:spPr>
        <a:xfrm>
          <a:off x="8267700" y="33413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35" name="TextBox 134">
          <a:extLst>
            <a:ext uri="{FF2B5EF4-FFF2-40B4-BE49-F238E27FC236}">
              <a16:creationId xmlns:a16="http://schemas.microsoft.com/office/drawing/2014/main" id="{00000000-0008-0000-0000-000007000000}"/>
            </a:ext>
          </a:extLst>
        </xdr:cNvPr>
        <xdr:cNvSpPr txBox="1"/>
      </xdr:nvSpPr>
      <xdr:spPr>
        <a:xfrm>
          <a:off x="8267700" y="33611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36" name="TextBox 135">
          <a:extLst>
            <a:ext uri="{FF2B5EF4-FFF2-40B4-BE49-F238E27FC236}">
              <a16:creationId xmlns:a16="http://schemas.microsoft.com/office/drawing/2014/main" id="{00000000-0008-0000-0000-000007000000}"/>
            </a:ext>
          </a:extLst>
        </xdr:cNvPr>
        <xdr:cNvSpPr txBox="1"/>
      </xdr:nvSpPr>
      <xdr:spPr>
        <a:xfrm>
          <a:off x="8267700" y="33611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7" name="TextBox 136">
          <a:extLst>
            <a:ext uri="{FF2B5EF4-FFF2-40B4-BE49-F238E27FC236}">
              <a16:creationId xmlns:a16="http://schemas.microsoft.com/office/drawing/2014/main" id="{00000000-0008-0000-0000-000007000000}"/>
            </a:ext>
          </a:extLst>
        </xdr:cNvPr>
        <xdr:cNvSpPr txBox="1"/>
      </xdr:nvSpPr>
      <xdr:spPr>
        <a:xfrm>
          <a:off x="8267700" y="33809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8" name="TextBox 137">
          <a:extLst>
            <a:ext uri="{FF2B5EF4-FFF2-40B4-BE49-F238E27FC236}">
              <a16:creationId xmlns:a16="http://schemas.microsoft.com/office/drawing/2014/main" id="{00000000-0008-0000-0000-000007000000}"/>
            </a:ext>
          </a:extLst>
        </xdr:cNvPr>
        <xdr:cNvSpPr txBox="1"/>
      </xdr:nvSpPr>
      <xdr:spPr>
        <a:xfrm>
          <a:off x="8267700" y="33809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9" name="TextBox 138">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40" name="TextBox 139">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41" name="TextBox 140">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42" name="TextBox 141">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43" name="TextBox 142">
          <a:extLst>
            <a:ext uri="{FF2B5EF4-FFF2-40B4-BE49-F238E27FC236}">
              <a16:creationId xmlns:a16="http://schemas.microsoft.com/office/drawing/2014/main" id="{00000000-0008-0000-0000-000007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44" name="TextBox 143">
          <a:extLst>
            <a:ext uri="{FF2B5EF4-FFF2-40B4-BE49-F238E27FC236}">
              <a16:creationId xmlns:a16="http://schemas.microsoft.com/office/drawing/2014/main" id="{00000000-0008-0000-0000-000007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45" name="TextBox 144">
          <a:extLst>
            <a:ext uri="{FF2B5EF4-FFF2-40B4-BE49-F238E27FC236}">
              <a16:creationId xmlns:a16="http://schemas.microsoft.com/office/drawing/2014/main" id="{00000000-0008-0000-0000-000007000000}"/>
            </a:ext>
          </a:extLst>
        </xdr:cNvPr>
        <xdr:cNvSpPr txBox="1"/>
      </xdr:nvSpPr>
      <xdr:spPr>
        <a:xfrm>
          <a:off x="8267700" y="3455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46" name="TextBox 145">
          <a:extLst>
            <a:ext uri="{FF2B5EF4-FFF2-40B4-BE49-F238E27FC236}">
              <a16:creationId xmlns:a16="http://schemas.microsoft.com/office/drawing/2014/main" id="{00000000-0008-0000-0000-000007000000}"/>
            </a:ext>
          </a:extLst>
        </xdr:cNvPr>
        <xdr:cNvSpPr txBox="1"/>
      </xdr:nvSpPr>
      <xdr:spPr>
        <a:xfrm>
          <a:off x="8267700" y="3455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47" name="TextBox 146">
          <a:extLst>
            <a:ext uri="{FF2B5EF4-FFF2-40B4-BE49-F238E27FC236}">
              <a16:creationId xmlns:a16="http://schemas.microsoft.com/office/drawing/2014/main" id="{00000000-0008-0000-0000-00000700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48" name="TextBox 147">
          <a:extLst>
            <a:ext uri="{FF2B5EF4-FFF2-40B4-BE49-F238E27FC236}">
              <a16:creationId xmlns:a16="http://schemas.microsoft.com/office/drawing/2014/main" id="{00000000-0008-0000-0000-00000700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97</xdr:row>
      <xdr:rowOff>0</xdr:rowOff>
    </xdr:from>
    <xdr:ext cx="65" cy="172227"/>
    <xdr:sp macro="" textlink="">
      <xdr:nvSpPr>
        <xdr:cNvPr id="149" name="TextBox 148">
          <a:extLst>
            <a:ext uri="{FF2B5EF4-FFF2-40B4-BE49-F238E27FC236}">
              <a16:creationId xmlns:a16="http://schemas.microsoft.com/office/drawing/2014/main" id="{00000000-0008-0000-0000-000007000000}"/>
            </a:ext>
          </a:extLst>
        </xdr:cNvPr>
        <xdr:cNvSpPr txBox="1"/>
      </xdr:nvSpPr>
      <xdr:spPr>
        <a:xfrm>
          <a:off x="8267700" y="35836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97</xdr:row>
      <xdr:rowOff>0</xdr:rowOff>
    </xdr:from>
    <xdr:ext cx="65" cy="172227"/>
    <xdr:sp macro="" textlink="">
      <xdr:nvSpPr>
        <xdr:cNvPr id="150" name="TextBox 149">
          <a:extLst>
            <a:ext uri="{FF2B5EF4-FFF2-40B4-BE49-F238E27FC236}">
              <a16:creationId xmlns:a16="http://schemas.microsoft.com/office/drawing/2014/main" id="{00000000-0008-0000-0000-000007000000}"/>
            </a:ext>
          </a:extLst>
        </xdr:cNvPr>
        <xdr:cNvSpPr txBox="1"/>
      </xdr:nvSpPr>
      <xdr:spPr>
        <a:xfrm>
          <a:off x="8267700" y="35836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151" name="TextBox 150">
          <a:extLst>
            <a:ext uri="{FF2B5EF4-FFF2-40B4-BE49-F238E27FC236}">
              <a16:creationId xmlns:a16="http://schemas.microsoft.com/office/drawing/2014/main" id="{00000000-0008-0000-0000-000007000000}"/>
            </a:ext>
          </a:extLst>
        </xdr:cNvPr>
        <xdr:cNvSpPr txBox="1"/>
      </xdr:nvSpPr>
      <xdr:spPr>
        <a:xfrm>
          <a:off x="8267700" y="36019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152" name="TextBox 151">
          <a:extLst>
            <a:ext uri="{FF2B5EF4-FFF2-40B4-BE49-F238E27FC236}">
              <a16:creationId xmlns:a16="http://schemas.microsoft.com/office/drawing/2014/main" id="{00000000-0008-0000-0000-000007000000}"/>
            </a:ext>
          </a:extLst>
        </xdr:cNvPr>
        <xdr:cNvSpPr txBox="1"/>
      </xdr:nvSpPr>
      <xdr:spPr>
        <a:xfrm>
          <a:off x="8267700" y="36019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153" name="TextBox 152">
          <a:extLst>
            <a:ext uri="{FF2B5EF4-FFF2-40B4-BE49-F238E27FC236}">
              <a16:creationId xmlns:a16="http://schemas.microsoft.com/office/drawing/2014/main" id="{00000000-0008-0000-0000-000007000000}"/>
            </a:ext>
          </a:extLst>
        </xdr:cNvPr>
        <xdr:cNvSpPr txBox="1"/>
      </xdr:nvSpPr>
      <xdr:spPr>
        <a:xfrm>
          <a:off x="8267700" y="36202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154" name="TextBox 153">
          <a:extLst>
            <a:ext uri="{FF2B5EF4-FFF2-40B4-BE49-F238E27FC236}">
              <a16:creationId xmlns:a16="http://schemas.microsoft.com/office/drawing/2014/main" id="{00000000-0008-0000-0000-000007000000}"/>
            </a:ext>
          </a:extLst>
        </xdr:cNvPr>
        <xdr:cNvSpPr txBox="1"/>
      </xdr:nvSpPr>
      <xdr:spPr>
        <a:xfrm>
          <a:off x="8267700" y="36202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55" name="TextBox 154">
          <a:extLst>
            <a:ext uri="{FF2B5EF4-FFF2-40B4-BE49-F238E27FC236}">
              <a16:creationId xmlns:a16="http://schemas.microsoft.com/office/drawing/2014/main" id="{00000000-0008-0000-0000-000007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56" name="TextBox 155">
          <a:extLst>
            <a:ext uri="{FF2B5EF4-FFF2-40B4-BE49-F238E27FC236}">
              <a16:creationId xmlns:a16="http://schemas.microsoft.com/office/drawing/2014/main" id="{00000000-0008-0000-0000-000007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57" name="TextBox 156">
          <a:extLst>
            <a:ext uri="{FF2B5EF4-FFF2-40B4-BE49-F238E27FC236}">
              <a16:creationId xmlns:a16="http://schemas.microsoft.com/office/drawing/2014/main" id="{00000000-0008-0000-0000-000007000000}"/>
            </a:ext>
          </a:extLst>
        </xdr:cNvPr>
        <xdr:cNvSpPr txBox="1"/>
      </xdr:nvSpPr>
      <xdr:spPr>
        <a:xfrm>
          <a:off x="8267700" y="36568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58" name="TextBox 157">
          <a:extLst>
            <a:ext uri="{FF2B5EF4-FFF2-40B4-BE49-F238E27FC236}">
              <a16:creationId xmlns:a16="http://schemas.microsoft.com/office/drawing/2014/main" id="{00000000-0008-0000-0000-000007000000}"/>
            </a:ext>
          </a:extLst>
        </xdr:cNvPr>
        <xdr:cNvSpPr txBox="1"/>
      </xdr:nvSpPr>
      <xdr:spPr>
        <a:xfrm>
          <a:off x="8267700" y="36568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107</xdr:row>
      <xdr:rowOff>0</xdr:rowOff>
    </xdr:from>
    <xdr:ext cx="65" cy="172227"/>
    <xdr:sp macro="" textlink="">
      <xdr:nvSpPr>
        <xdr:cNvPr id="159" name="TextBox 158">
          <a:extLst>
            <a:ext uri="{FF2B5EF4-FFF2-40B4-BE49-F238E27FC236}">
              <a16:creationId xmlns:a16="http://schemas.microsoft.com/office/drawing/2014/main" id="{00000000-0008-0000-0000-000007000000}"/>
            </a:ext>
          </a:extLst>
        </xdr:cNvPr>
        <xdr:cNvSpPr txBox="1"/>
      </xdr:nvSpPr>
      <xdr:spPr>
        <a:xfrm>
          <a:off x="8267700" y="3766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107</xdr:row>
      <xdr:rowOff>0</xdr:rowOff>
    </xdr:from>
    <xdr:ext cx="65" cy="172227"/>
    <xdr:sp macro="" textlink="">
      <xdr:nvSpPr>
        <xdr:cNvPr id="160" name="TextBox 159">
          <a:extLst>
            <a:ext uri="{FF2B5EF4-FFF2-40B4-BE49-F238E27FC236}">
              <a16:creationId xmlns:a16="http://schemas.microsoft.com/office/drawing/2014/main" id="{00000000-0008-0000-0000-000007000000}"/>
            </a:ext>
          </a:extLst>
        </xdr:cNvPr>
        <xdr:cNvSpPr txBox="1"/>
      </xdr:nvSpPr>
      <xdr:spPr>
        <a:xfrm>
          <a:off x="8267700" y="3766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161" name="TextBox 160">
          <a:extLst>
            <a:ext uri="{FF2B5EF4-FFF2-40B4-BE49-F238E27FC236}">
              <a16:creationId xmlns:a16="http://schemas.microsoft.com/office/drawing/2014/main" id="{00000000-0008-0000-0000-000007000000}"/>
            </a:ext>
          </a:extLst>
        </xdr:cNvPr>
        <xdr:cNvSpPr txBox="1"/>
      </xdr:nvSpPr>
      <xdr:spPr>
        <a:xfrm>
          <a:off x="8267700" y="3784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162" name="TextBox 161">
          <a:extLst>
            <a:ext uri="{FF2B5EF4-FFF2-40B4-BE49-F238E27FC236}">
              <a16:creationId xmlns:a16="http://schemas.microsoft.com/office/drawing/2014/main" id="{00000000-0008-0000-0000-000007000000}"/>
            </a:ext>
          </a:extLst>
        </xdr:cNvPr>
        <xdr:cNvSpPr txBox="1"/>
      </xdr:nvSpPr>
      <xdr:spPr>
        <a:xfrm>
          <a:off x="8267700" y="3784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163" name="TextBox 162">
          <a:extLst>
            <a:ext uri="{FF2B5EF4-FFF2-40B4-BE49-F238E27FC236}">
              <a16:creationId xmlns:a16="http://schemas.microsoft.com/office/drawing/2014/main" id="{00000000-0008-0000-0000-000007000000}"/>
            </a:ext>
          </a:extLst>
        </xdr:cNvPr>
        <xdr:cNvSpPr txBox="1"/>
      </xdr:nvSpPr>
      <xdr:spPr>
        <a:xfrm>
          <a:off x="8267700" y="38031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164" name="TextBox 163">
          <a:extLst>
            <a:ext uri="{FF2B5EF4-FFF2-40B4-BE49-F238E27FC236}">
              <a16:creationId xmlns:a16="http://schemas.microsoft.com/office/drawing/2014/main" id="{00000000-0008-0000-0000-000007000000}"/>
            </a:ext>
          </a:extLst>
        </xdr:cNvPr>
        <xdr:cNvSpPr txBox="1"/>
      </xdr:nvSpPr>
      <xdr:spPr>
        <a:xfrm>
          <a:off x="8267700" y="38031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65" name="TextBox 164">
          <a:extLst>
            <a:ext uri="{FF2B5EF4-FFF2-40B4-BE49-F238E27FC236}">
              <a16:creationId xmlns:a16="http://schemas.microsoft.com/office/drawing/2014/main" id="{00000000-0008-0000-0000-000007000000}"/>
            </a:ext>
          </a:extLst>
        </xdr:cNvPr>
        <xdr:cNvSpPr txBox="1"/>
      </xdr:nvSpPr>
      <xdr:spPr>
        <a:xfrm>
          <a:off x="8267700" y="3821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66" name="TextBox 165">
          <a:extLst>
            <a:ext uri="{FF2B5EF4-FFF2-40B4-BE49-F238E27FC236}">
              <a16:creationId xmlns:a16="http://schemas.microsoft.com/office/drawing/2014/main" id="{00000000-0008-0000-0000-000007000000}"/>
            </a:ext>
          </a:extLst>
        </xdr:cNvPr>
        <xdr:cNvSpPr txBox="1"/>
      </xdr:nvSpPr>
      <xdr:spPr>
        <a:xfrm>
          <a:off x="8267700" y="3821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67" name="TextBox 166">
          <a:extLst>
            <a:ext uri="{FF2B5EF4-FFF2-40B4-BE49-F238E27FC236}">
              <a16:creationId xmlns:a16="http://schemas.microsoft.com/office/drawing/2014/main" id="{00000000-0008-0000-0000-000007000000}"/>
            </a:ext>
          </a:extLst>
        </xdr:cNvPr>
        <xdr:cNvSpPr txBox="1"/>
      </xdr:nvSpPr>
      <xdr:spPr>
        <a:xfrm>
          <a:off x="826770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68" name="TextBox 167">
          <a:extLst>
            <a:ext uri="{FF2B5EF4-FFF2-40B4-BE49-F238E27FC236}">
              <a16:creationId xmlns:a16="http://schemas.microsoft.com/office/drawing/2014/main" id="{00000000-0008-0000-0000-000007000000}"/>
            </a:ext>
          </a:extLst>
        </xdr:cNvPr>
        <xdr:cNvSpPr txBox="1"/>
      </xdr:nvSpPr>
      <xdr:spPr>
        <a:xfrm>
          <a:off x="826770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117</xdr:row>
      <xdr:rowOff>0</xdr:rowOff>
    </xdr:from>
    <xdr:ext cx="65" cy="172227"/>
    <xdr:sp macro="" textlink="">
      <xdr:nvSpPr>
        <xdr:cNvPr id="169" name="TextBox 168">
          <a:extLst>
            <a:ext uri="{FF2B5EF4-FFF2-40B4-BE49-F238E27FC236}">
              <a16:creationId xmlns:a16="http://schemas.microsoft.com/office/drawing/2014/main" id="{00000000-0008-0000-0000-000007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117</xdr:row>
      <xdr:rowOff>0</xdr:rowOff>
    </xdr:from>
    <xdr:ext cx="65" cy="172227"/>
    <xdr:sp macro="" textlink="">
      <xdr:nvSpPr>
        <xdr:cNvPr id="170" name="TextBox 169">
          <a:extLst>
            <a:ext uri="{FF2B5EF4-FFF2-40B4-BE49-F238E27FC236}">
              <a16:creationId xmlns:a16="http://schemas.microsoft.com/office/drawing/2014/main" id="{00000000-0008-0000-0000-000007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171" name="TextBox 170">
          <a:extLst>
            <a:ext uri="{FF2B5EF4-FFF2-40B4-BE49-F238E27FC236}">
              <a16:creationId xmlns:a16="http://schemas.microsoft.com/office/drawing/2014/main" id="{00000000-0008-0000-0000-000007000000}"/>
            </a:ext>
          </a:extLst>
        </xdr:cNvPr>
        <xdr:cNvSpPr txBox="1"/>
      </xdr:nvSpPr>
      <xdr:spPr>
        <a:xfrm>
          <a:off x="8267700" y="39677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172" name="TextBox 171">
          <a:extLst>
            <a:ext uri="{FF2B5EF4-FFF2-40B4-BE49-F238E27FC236}">
              <a16:creationId xmlns:a16="http://schemas.microsoft.com/office/drawing/2014/main" id="{00000000-0008-0000-0000-000007000000}"/>
            </a:ext>
          </a:extLst>
        </xdr:cNvPr>
        <xdr:cNvSpPr txBox="1"/>
      </xdr:nvSpPr>
      <xdr:spPr>
        <a:xfrm>
          <a:off x="8267700" y="39677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73" name="TextBox 172">
          <a:extLst>
            <a:ext uri="{FF2B5EF4-FFF2-40B4-BE49-F238E27FC236}">
              <a16:creationId xmlns:a16="http://schemas.microsoft.com/office/drawing/2014/main" id="{00000000-0008-0000-0000-000007000000}"/>
            </a:ext>
          </a:extLst>
        </xdr:cNvPr>
        <xdr:cNvSpPr txBox="1"/>
      </xdr:nvSpPr>
      <xdr:spPr>
        <a:xfrm>
          <a:off x="8267700" y="39860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74" name="TextBox 173">
          <a:extLst>
            <a:ext uri="{FF2B5EF4-FFF2-40B4-BE49-F238E27FC236}">
              <a16:creationId xmlns:a16="http://schemas.microsoft.com/office/drawing/2014/main" id="{00000000-0008-0000-0000-000007000000}"/>
            </a:ext>
          </a:extLst>
        </xdr:cNvPr>
        <xdr:cNvSpPr txBox="1"/>
      </xdr:nvSpPr>
      <xdr:spPr>
        <a:xfrm>
          <a:off x="8267700" y="39860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75" name="TextBox 174">
          <a:extLst>
            <a:ext uri="{FF2B5EF4-FFF2-40B4-BE49-F238E27FC236}">
              <a16:creationId xmlns:a16="http://schemas.microsoft.com/office/drawing/2014/main" id="{00000000-0008-0000-0000-000007000000}"/>
            </a:ext>
          </a:extLst>
        </xdr:cNvPr>
        <xdr:cNvSpPr txBox="1"/>
      </xdr:nvSpPr>
      <xdr:spPr>
        <a:xfrm>
          <a:off x="8267700" y="40043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76" name="TextBox 175">
          <a:extLst>
            <a:ext uri="{FF2B5EF4-FFF2-40B4-BE49-F238E27FC236}">
              <a16:creationId xmlns:a16="http://schemas.microsoft.com/office/drawing/2014/main" id="{00000000-0008-0000-0000-000007000000}"/>
            </a:ext>
          </a:extLst>
        </xdr:cNvPr>
        <xdr:cNvSpPr txBox="1"/>
      </xdr:nvSpPr>
      <xdr:spPr>
        <a:xfrm>
          <a:off x="8267700" y="40043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77" name="TextBox 176">
          <a:extLst>
            <a:ext uri="{FF2B5EF4-FFF2-40B4-BE49-F238E27FC236}">
              <a16:creationId xmlns:a16="http://schemas.microsoft.com/office/drawing/2014/main" id="{00000000-0008-0000-0000-000007000000}"/>
            </a:ext>
          </a:extLst>
        </xdr:cNvPr>
        <xdr:cNvSpPr txBox="1"/>
      </xdr:nvSpPr>
      <xdr:spPr>
        <a:xfrm>
          <a:off x="8267700" y="40225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78" name="TextBox 177">
          <a:extLst>
            <a:ext uri="{FF2B5EF4-FFF2-40B4-BE49-F238E27FC236}">
              <a16:creationId xmlns:a16="http://schemas.microsoft.com/office/drawing/2014/main" id="{00000000-0008-0000-0000-000007000000}"/>
            </a:ext>
          </a:extLst>
        </xdr:cNvPr>
        <xdr:cNvSpPr txBox="1"/>
      </xdr:nvSpPr>
      <xdr:spPr>
        <a:xfrm>
          <a:off x="8267700" y="40225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127</xdr:row>
      <xdr:rowOff>0</xdr:rowOff>
    </xdr:from>
    <xdr:ext cx="65" cy="172227"/>
    <xdr:sp macro="" textlink="">
      <xdr:nvSpPr>
        <xdr:cNvPr id="179" name="TextBox 178">
          <a:extLst>
            <a:ext uri="{FF2B5EF4-FFF2-40B4-BE49-F238E27FC236}">
              <a16:creationId xmlns:a16="http://schemas.microsoft.com/office/drawing/2014/main" id="{00000000-0008-0000-0000-000007000000}"/>
            </a:ext>
          </a:extLst>
        </xdr:cNvPr>
        <xdr:cNvSpPr txBox="1"/>
      </xdr:nvSpPr>
      <xdr:spPr>
        <a:xfrm>
          <a:off x="8267700" y="41323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127</xdr:row>
      <xdr:rowOff>0</xdr:rowOff>
    </xdr:from>
    <xdr:ext cx="65" cy="172227"/>
    <xdr:sp macro="" textlink="">
      <xdr:nvSpPr>
        <xdr:cNvPr id="180" name="TextBox 179">
          <a:extLst>
            <a:ext uri="{FF2B5EF4-FFF2-40B4-BE49-F238E27FC236}">
              <a16:creationId xmlns:a16="http://schemas.microsoft.com/office/drawing/2014/main" id="{00000000-0008-0000-0000-000007000000}"/>
            </a:ext>
          </a:extLst>
        </xdr:cNvPr>
        <xdr:cNvSpPr txBox="1"/>
      </xdr:nvSpPr>
      <xdr:spPr>
        <a:xfrm>
          <a:off x="8267700" y="41323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181" name="TextBox 180">
          <a:extLst>
            <a:ext uri="{FF2B5EF4-FFF2-40B4-BE49-F238E27FC236}">
              <a16:creationId xmlns:a16="http://schemas.microsoft.com/office/drawing/2014/main" id="{00000000-0008-0000-0000-000007000000}"/>
            </a:ext>
          </a:extLst>
        </xdr:cNvPr>
        <xdr:cNvSpPr txBox="1"/>
      </xdr:nvSpPr>
      <xdr:spPr>
        <a:xfrm>
          <a:off x="8267700" y="4150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182" name="TextBox 181">
          <a:extLst>
            <a:ext uri="{FF2B5EF4-FFF2-40B4-BE49-F238E27FC236}">
              <a16:creationId xmlns:a16="http://schemas.microsoft.com/office/drawing/2014/main" id="{00000000-0008-0000-0000-000007000000}"/>
            </a:ext>
          </a:extLst>
        </xdr:cNvPr>
        <xdr:cNvSpPr txBox="1"/>
      </xdr:nvSpPr>
      <xdr:spPr>
        <a:xfrm>
          <a:off x="8267700" y="4150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83" name="TextBox 182">
          <a:extLst>
            <a:ext uri="{FF2B5EF4-FFF2-40B4-BE49-F238E27FC236}">
              <a16:creationId xmlns:a16="http://schemas.microsoft.com/office/drawing/2014/main" id="{00000000-0008-0000-0000-000007000000}"/>
            </a:ext>
          </a:extLst>
        </xdr:cNvPr>
        <xdr:cNvSpPr txBox="1"/>
      </xdr:nvSpPr>
      <xdr:spPr>
        <a:xfrm>
          <a:off x="8267700" y="4168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84" name="TextBox 183">
          <a:extLst>
            <a:ext uri="{FF2B5EF4-FFF2-40B4-BE49-F238E27FC236}">
              <a16:creationId xmlns:a16="http://schemas.microsoft.com/office/drawing/2014/main" id="{00000000-0008-0000-0000-000007000000}"/>
            </a:ext>
          </a:extLst>
        </xdr:cNvPr>
        <xdr:cNvSpPr txBox="1"/>
      </xdr:nvSpPr>
      <xdr:spPr>
        <a:xfrm>
          <a:off x="8267700" y="4168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85" name="TextBox 184">
          <a:extLst>
            <a:ext uri="{FF2B5EF4-FFF2-40B4-BE49-F238E27FC236}">
              <a16:creationId xmlns:a16="http://schemas.microsoft.com/office/drawing/2014/main" id="{00000000-0008-0000-0000-000007000000}"/>
            </a:ext>
          </a:extLst>
        </xdr:cNvPr>
        <xdr:cNvSpPr txBox="1"/>
      </xdr:nvSpPr>
      <xdr:spPr>
        <a:xfrm>
          <a:off x="8267700" y="4187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86" name="TextBox 185">
          <a:extLst>
            <a:ext uri="{FF2B5EF4-FFF2-40B4-BE49-F238E27FC236}">
              <a16:creationId xmlns:a16="http://schemas.microsoft.com/office/drawing/2014/main" id="{00000000-0008-0000-0000-000007000000}"/>
            </a:ext>
          </a:extLst>
        </xdr:cNvPr>
        <xdr:cNvSpPr txBox="1"/>
      </xdr:nvSpPr>
      <xdr:spPr>
        <a:xfrm>
          <a:off x="8267700" y="4187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87" name="TextBox 186">
          <a:extLst>
            <a:ext uri="{FF2B5EF4-FFF2-40B4-BE49-F238E27FC236}">
              <a16:creationId xmlns:a16="http://schemas.microsoft.com/office/drawing/2014/main" id="{00000000-0008-0000-0000-000007000000}"/>
            </a:ext>
          </a:extLst>
        </xdr:cNvPr>
        <xdr:cNvSpPr txBox="1"/>
      </xdr:nvSpPr>
      <xdr:spPr>
        <a:xfrm>
          <a:off x="8267700" y="4205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88" name="TextBox 187">
          <a:extLst>
            <a:ext uri="{FF2B5EF4-FFF2-40B4-BE49-F238E27FC236}">
              <a16:creationId xmlns:a16="http://schemas.microsoft.com/office/drawing/2014/main" id="{00000000-0008-0000-0000-000007000000}"/>
            </a:ext>
          </a:extLst>
        </xdr:cNvPr>
        <xdr:cNvSpPr txBox="1"/>
      </xdr:nvSpPr>
      <xdr:spPr>
        <a:xfrm>
          <a:off x="8267700" y="4205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192" name="TextBox 191">
          <a:extLst>
            <a:ext uri="{FF2B5EF4-FFF2-40B4-BE49-F238E27FC236}">
              <a16:creationId xmlns:a16="http://schemas.microsoft.com/office/drawing/2014/main" id="{00000000-0008-0000-0000-000007000000}"/>
            </a:ext>
          </a:extLst>
        </xdr:cNvPr>
        <xdr:cNvSpPr txBox="1"/>
      </xdr:nvSpPr>
      <xdr:spPr>
        <a:xfrm>
          <a:off x="8267700" y="3283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196" name="TextBox 195">
          <a:extLst>
            <a:ext uri="{FF2B5EF4-FFF2-40B4-BE49-F238E27FC236}">
              <a16:creationId xmlns:a16="http://schemas.microsoft.com/office/drawing/2014/main" id="{00000000-0008-0000-0000-000007000000}"/>
            </a:ext>
          </a:extLst>
        </xdr:cNvPr>
        <xdr:cNvSpPr txBox="1"/>
      </xdr:nvSpPr>
      <xdr:spPr>
        <a:xfrm>
          <a:off x="8267700" y="3283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197" name="TextBox 196">
          <a:extLst>
            <a:ext uri="{FF2B5EF4-FFF2-40B4-BE49-F238E27FC236}">
              <a16:creationId xmlns:a16="http://schemas.microsoft.com/office/drawing/2014/main" id="{00000000-0008-0000-0000-000007000000}"/>
            </a:ext>
          </a:extLst>
        </xdr:cNvPr>
        <xdr:cNvSpPr txBox="1"/>
      </xdr:nvSpPr>
      <xdr:spPr>
        <a:xfrm>
          <a:off x="8267700" y="3303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198" name="TextBox 197">
          <a:extLst>
            <a:ext uri="{FF2B5EF4-FFF2-40B4-BE49-F238E27FC236}">
              <a16:creationId xmlns:a16="http://schemas.microsoft.com/office/drawing/2014/main" id="{00000000-0008-0000-0000-000007000000}"/>
            </a:ext>
          </a:extLst>
        </xdr:cNvPr>
        <xdr:cNvSpPr txBox="1"/>
      </xdr:nvSpPr>
      <xdr:spPr>
        <a:xfrm>
          <a:off x="8267700" y="3303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199" name="TextBox 198">
          <a:extLst>
            <a:ext uri="{FF2B5EF4-FFF2-40B4-BE49-F238E27FC236}">
              <a16:creationId xmlns:a16="http://schemas.microsoft.com/office/drawing/2014/main" id="{00000000-0008-0000-0000-000007000000}"/>
            </a:ext>
          </a:extLst>
        </xdr:cNvPr>
        <xdr:cNvSpPr txBox="1"/>
      </xdr:nvSpPr>
      <xdr:spPr>
        <a:xfrm>
          <a:off x="8267700" y="33230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200" name="TextBox 199">
          <a:extLst>
            <a:ext uri="{FF2B5EF4-FFF2-40B4-BE49-F238E27FC236}">
              <a16:creationId xmlns:a16="http://schemas.microsoft.com/office/drawing/2014/main" id="{00000000-0008-0000-0000-000007000000}"/>
            </a:ext>
          </a:extLst>
        </xdr:cNvPr>
        <xdr:cNvSpPr txBox="1"/>
      </xdr:nvSpPr>
      <xdr:spPr>
        <a:xfrm>
          <a:off x="8267700" y="33230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201" name="TextBox 200">
          <a:extLst>
            <a:ext uri="{FF2B5EF4-FFF2-40B4-BE49-F238E27FC236}">
              <a16:creationId xmlns:a16="http://schemas.microsoft.com/office/drawing/2014/main" id="{00000000-0008-0000-0000-000007000000}"/>
            </a:ext>
          </a:extLst>
        </xdr:cNvPr>
        <xdr:cNvSpPr txBox="1"/>
      </xdr:nvSpPr>
      <xdr:spPr>
        <a:xfrm>
          <a:off x="8267700" y="33428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202" name="TextBox 201">
          <a:extLst>
            <a:ext uri="{FF2B5EF4-FFF2-40B4-BE49-F238E27FC236}">
              <a16:creationId xmlns:a16="http://schemas.microsoft.com/office/drawing/2014/main" id="{00000000-0008-0000-0000-000007000000}"/>
            </a:ext>
          </a:extLst>
        </xdr:cNvPr>
        <xdr:cNvSpPr txBox="1"/>
      </xdr:nvSpPr>
      <xdr:spPr>
        <a:xfrm>
          <a:off x="8267700" y="33428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203" name="TextBox 202">
          <a:extLst>
            <a:ext uri="{FF2B5EF4-FFF2-40B4-BE49-F238E27FC236}">
              <a16:creationId xmlns:a16="http://schemas.microsoft.com/office/drawing/2014/main" id="{00000000-0008-0000-0000-000007000000}"/>
            </a:ext>
          </a:extLst>
        </xdr:cNvPr>
        <xdr:cNvSpPr txBox="1"/>
      </xdr:nvSpPr>
      <xdr:spPr>
        <a:xfrm>
          <a:off x="8267700" y="33627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204" name="TextBox 203">
          <a:extLst>
            <a:ext uri="{FF2B5EF4-FFF2-40B4-BE49-F238E27FC236}">
              <a16:creationId xmlns:a16="http://schemas.microsoft.com/office/drawing/2014/main" id="{00000000-0008-0000-0000-000007000000}"/>
            </a:ext>
          </a:extLst>
        </xdr:cNvPr>
        <xdr:cNvSpPr txBox="1"/>
      </xdr:nvSpPr>
      <xdr:spPr>
        <a:xfrm>
          <a:off x="8267700" y="33627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205" name="TextBox 204">
          <a:extLst>
            <a:ext uri="{FF2B5EF4-FFF2-40B4-BE49-F238E27FC236}">
              <a16:creationId xmlns:a16="http://schemas.microsoft.com/office/drawing/2014/main" id="{00000000-0008-0000-0000-000007000000}"/>
            </a:ext>
          </a:extLst>
        </xdr:cNvPr>
        <xdr:cNvSpPr txBox="1"/>
      </xdr:nvSpPr>
      <xdr:spPr>
        <a:xfrm>
          <a:off x="8267700" y="33825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206" name="TextBox 205">
          <a:extLst>
            <a:ext uri="{FF2B5EF4-FFF2-40B4-BE49-F238E27FC236}">
              <a16:creationId xmlns:a16="http://schemas.microsoft.com/office/drawing/2014/main" id="{00000000-0008-0000-0000-000007000000}"/>
            </a:ext>
          </a:extLst>
        </xdr:cNvPr>
        <xdr:cNvSpPr txBox="1"/>
      </xdr:nvSpPr>
      <xdr:spPr>
        <a:xfrm>
          <a:off x="8267700" y="33825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207" name="TextBox 206">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208" name="TextBox 207">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209" name="TextBox 208">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210" name="TextBox 209">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211" name="TextBox 210">
          <a:extLst>
            <a:ext uri="{FF2B5EF4-FFF2-40B4-BE49-F238E27FC236}">
              <a16:creationId xmlns:a16="http://schemas.microsoft.com/office/drawing/2014/main" id="{00000000-0008-0000-0000-000007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212" name="TextBox 211">
          <a:extLst>
            <a:ext uri="{FF2B5EF4-FFF2-40B4-BE49-F238E27FC236}">
              <a16:creationId xmlns:a16="http://schemas.microsoft.com/office/drawing/2014/main" id="{00000000-0008-0000-0000-000007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213" name="TextBox 212">
          <a:extLst>
            <a:ext uri="{FF2B5EF4-FFF2-40B4-BE49-F238E27FC236}">
              <a16:creationId xmlns:a16="http://schemas.microsoft.com/office/drawing/2014/main" id="{00000000-0008-0000-0000-000007000000}"/>
            </a:ext>
          </a:extLst>
        </xdr:cNvPr>
        <xdr:cNvSpPr txBox="1"/>
      </xdr:nvSpPr>
      <xdr:spPr>
        <a:xfrm>
          <a:off x="8267700" y="3455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214" name="TextBox 213">
          <a:extLst>
            <a:ext uri="{FF2B5EF4-FFF2-40B4-BE49-F238E27FC236}">
              <a16:creationId xmlns:a16="http://schemas.microsoft.com/office/drawing/2014/main" id="{00000000-0008-0000-0000-000007000000}"/>
            </a:ext>
          </a:extLst>
        </xdr:cNvPr>
        <xdr:cNvSpPr txBox="1"/>
      </xdr:nvSpPr>
      <xdr:spPr>
        <a:xfrm>
          <a:off x="8267700" y="3455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97</xdr:row>
      <xdr:rowOff>0</xdr:rowOff>
    </xdr:from>
    <xdr:ext cx="65" cy="172227"/>
    <xdr:sp macro="" textlink="">
      <xdr:nvSpPr>
        <xdr:cNvPr id="215" name="TextBox 214">
          <a:extLst>
            <a:ext uri="{FF2B5EF4-FFF2-40B4-BE49-F238E27FC236}">
              <a16:creationId xmlns:a16="http://schemas.microsoft.com/office/drawing/2014/main" id="{00000000-0008-0000-0000-000007000000}"/>
            </a:ext>
          </a:extLst>
        </xdr:cNvPr>
        <xdr:cNvSpPr txBox="1"/>
      </xdr:nvSpPr>
      <xdr:spPr>
        <a:xfrm>
          <a:off x="8267700" y="35653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97</xdr:row>
      <xdr:rowOff>0</xdr:rowOff>
    </xdr:from>
    <xdr:ext cx="65" cy="172227"/>
    <xdr:sp macro="" textlink="">
      <xdr:nvSpPr>
        <xdr:cNvPr id="216" name="TextBox 215">
          <a:extLst>
            <a:ext uri="{FF2B5EF4-FFF2-40B4-BE49-F238E27FC236}">
              <a16:creationId xmlns:a16="http://schemas.microsoft.com/office/drawing/2014/main" id="{00000000-0008-0000-0000-000007000000}"/>
            </a:ext>
          </a:extLst>
        </xdr:cNvPr>
        <xdr:cNvSpPr txBox="1"/>
      </xdr:nvSpPr>
      <xdr:spPr>
        <a:xfrm>
          <a:off x="8267700" y="35653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217" name="TextBox 216">
          <a:extLst>
            <a:ext uri="{FF2B5EF4-FFF2-40B4-BE49-F238E27FC236}">
              <a16:creationId xmlns:a16="http://schemas.microsoft.com/office/drawing/2014/main" id="{00000000-0008-0000-0000-000007000000}"/>
            </a:ext>
          </a:extLst>
        </xdr:cNvPr>
        <xdr:cNvSpPr txBox="1"/>
      </xdr:nvSpPr>
      <xdr:spPr>
        <a:xfrm>
          <a:off x="8267700" y="35836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218" name="TextBox 217">
          <a:extLst>
            <a:ext uri="{FF2B5EF4-FFF2-40B4-BE49-F238E27FC236}">
              <a16:creationId xmlns:a16="http://schemas.microsoft.com/office/drawing/2014/main" id="{00000000-0008-0000-0000-000007000000}"/>
            </a:ext>
          </a:extLst>
        </xdr:cNvPr>
        <xdr:cNvSpPr txBox="1"/>
      </xdr:nvSpPr>
      <xdr:spPr>
        <a:xfrm>
          <a:off x="8267700" y="35836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219" name="TextBox 218">
          <a:extLst>
            <a:ext uri="{FF2B5EF4-FFF2-40B4-BE49-F238E27FC236}">
              <a16:creationId xmlns:a16="http://schemas.microsoft.com/office/drawing/2014/main" id="{00000000-0008-0000-0000-000007000000}"/>
            </a:ext>
          </a:extLst>
        </xdr:cNvPr>
        <xdr:cNvSpPr txBox="1"/>
      </xdr:nvSpPr>
      <xdr:spPr>
        <a:xfrm>
          <a:off x="8267700" y="36019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220" name="TextBox 219">
          <a:extLst>
            <a:ext uri="{FF2B5EF4-FFF2-40B4-BE49-F238E27FC236}">
              <a16:creationId xmlns:a16="http://schemas.microsoft.com/office/drawing/2014/main" id="{00000000-0008-0000-0000-000007000000}"/>
            </a:ext>
          </a:extLst>
        </xdr:cNvPr>
        <xdr:cNvSpPr txBox="1"/>
      </xdr:nvSpPr>
      <xdr:spPr>
        <a:xfrm>
          <a:off x="8267700" y="36019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221" name="TextBox 220">
          <a:extLst>
            <a:ext uri="{FF2B5EF4-FFF2-40B4-BE49-F238E27FC236}">
              <a16:creationId xmlns:a16="http://schemas.microsoft.com/office/drawing/2014/main" id="{00000000-0008-0000-0000-000007000000}"/>
            </a:ext>
          </a:extLst>
        </xdr:cNvPr>
        <xdr:cNvSpPr txBox="1"/>
      </xdr:nvSpPr>
      <xdr:spPr>
        <a:xfrm>
          <a:off x="8267700" y="36202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222" name="TextBox 221">
          <a:extLst>
            <a:ext uri="{FF2B5EF4-FFF2-40B4-BE49-F238E27FC236}">
              <a16:creationId xmlns:a16="http://schemas.microsoft.com/office/drawing/2014/main" id="{00000000-0008-0000-0000-000007000000}"/>
            </a:ext>
          </a:extLst>
        </xdr:cNvPr>
        <xdr:cNvSpPr txBox="1"/>
      </xdr:nvSpPr>
      <xdr:spPr>
        <a:xfrm>
          <a:off x="8267700" y="36202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223" name="TextBox 222">
          <a:extLst>
            <a:ext uri="{FF2B5EF4-FFF2-40B4-BE49-F238E27FC236}">
              <a16:creationId xmlns:a16="http://schemas.microsoft.com/office/drawing/2014/main" id="{00000000-0008-0000-0000-000007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224" name="TextBox 223">
          <a:extLst>
            <a:ext uri="{FF2B5EF4-FFF2-40B4-BE49-F238E27FC236}">
              <a16:creationId xmlns:a16="http://schemas.microsoft.com/office/drawing/2014/main" id="{00000000-0008-0000-0000-000007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107</xdr:row>
      <xdr:rowOff>0</xdr:rowOff>
    </xdr:from>
    <xdr:ext cx="65" cy="172227"/>
    <xdr:sp macro="" textlink="">
      <xdr:nvSpPr>
        <xdr:cNvPr id="225" name="TextBox 224">
          <a:extLst>
            <a:ext uri="{FF2B5EF4-FFF2-40B4-BE49-F238E27FC236}">
              <a16:creationId xmlns:a16="http://schemas.microsoft.com/office/drawing/2014/main" id="{00000000-0008-0000-0000-000007000000}"/>
            </a:ext>
          </a:extLst>
        </xdr:cNvPr>
        <xdr:cNvSpPr txBox="1"/>
      </xdr:nvSpPr>
      <xdr:spPr>
        <a:xfrm>
          <a:off x="8267700" y="3748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107</xdr:row>
      <xdr:rowOff>0</xdr:rowOff>
    </xdr:from>
    <xdr:ext cx="65" cy="172227"/>
    <xdr:sp macro="" textlink="">
      <xdr:nvSpPr>
        <xdr:cNvPr id="226" name="TextBox 225">
          <a:extLst>
            <a:ext uri="{FF2B5EF4-FFF2-40B4-BE49-F238E27FC236}">
              <a16:creationId xmlns:a16="http://schemas.microsoft.com/office/drawing/2014/main" id="{00000000-0008-0000-0000-000007000000}"/>
            </a:ext>
          </a:extLst>
        </xdr:cNvPr>
        <xdr:cNvSpPr txBox="1"/>
      </xdr:nvSpPr>
      <xdr:spPr>
        <a:xfrm>
          <a:off x="8267700" y="3748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227" name="TextBox 226">
          <a:extLst>
            <a:ext uri="{FF2B5EF4-FFF2-40B4-BE49-F238E27FC236}">
              <a16:creationId xmlns:a16="http://schemas.microsoft.com/office/drawing/2014/main" id="{00000000-0008-0000-0000-000007000000}"/>
            </a:ext>
          </a:extLst>
        </xdr:cNvPr>
        <xdr:cNvSpPr txBox="1"/>
      </xdr:nvSpPr>
      <xdr:spPr>
        <a:xfrm>
          <a:off x="8267700" y="3766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228" name="TextBox 227">
          <a:extLst>
            <a:ext uri="{FF2B5EF4-FFF2-40B4-BE49-F238E27FC236}">
              <a16:creationId xmlns:a16="http://schemas.microsoft.com/office/drawing/2014/main" id="{00000000-0008-0000-0000-000007000000}"/>
            </a:ext>
          </a:extLst>
        </xdr:cNvPr>
        <xdr:cNvSpPr txBox="1"/>
      </xdr:nvSpPr>
      <xdr:spPr>
        <a:xfrm>
          <a:off x="8267700" y="3766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229" name="TextBox 228">
          <a:extLst>
            <a:ext uri="{FF2B5EF4-FFF2-40B4-BE49-F238E27FC236}">
              <a16:creationId xmlns:a16="http://schemas.microsoft.com/office/drawing/2014/main" id="{00000000-0008-0000-0000-000007000000}"/>
            </a:ext>
          </a:extLst>
        </xdr:cNvPr>
        <xdr:cNvSpPr txBox="1"/>
      </xdr:nvSpPr>
      <xdr:spPr>
        <a:xfrm>
          <a:off x="8267700" y="3784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230" name="TextBox 229">
          <a:extLst>
            <a:ext uri="{FF2B5EF4-FFF2-40B4-BE49-F238E27FC236}">
              <a16:creationId xmlns:a16="http://schemas.microsoft.com/office/drawing/2014/main" id="{00000000-0008-0000-0000-000007000000}"/>
            </a:ext>
          </a:extLst>
        </xdr:cNvPr>
        <xdr:cNvSpPr txBox="1"/>
      </xdr:nvSpPr>
      <xdr:spPr>
        <a:xfrm>
          <a:off x="8267700" y="3784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231" name="TextBox 230">
          <a:extLst>
            <a:ext uri="{FF2B5EF4-FFF2-40B4-BE49-F238E27FC236}">
              <a16:creationId xmlns:a16="http://schemas.microsoft.com/office/drawing/2014/main" id="{00000000-0008-0000-0000-000007000000}"/>
            </a:ext>
          </a:extLst>
        </xdr:cNvPr>
        <xdr:cNvSpPr txBox="1"/>
      </xdr:nvSpPr>
      <xdr:spPr>
        <a:xfrm>
          <a:off x="8267700" y="38031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232" name="TextBox 231">
          <a:extLst>
            <a:ext uri="{FF2B5EF4-FFF2-40B4-BE49-F238E27FC236}">
              <a16:creationId xmlns:a16="http://schemas.microsoft.com/office/drawing/2014/main" id="{00000000-0008-0000-0000-000007000000}"/>
            </a:ext>
          </a:extLst>
        </xdr:cNvPr>
        <xdr:cNvSpPr txBox="1"/>
      </xdr:nvSpPr>
      <xdr:spPr>
        <a:xfrm>
          <a:off x="8267700" y="38031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233" name="TextBox 232">
          <a:extLst>
            <a:ext uri="{FF2B5EF4-FFF2-40B4-BE49-F238E27FC236}">
              <a16:creationId xmlns:a16="http://schemas.microsoft.com/office/drawing/2014/main" id="{00000000-0008-0000-0000-000007000000}"/>
            </a:ext>
          </a:extLst>
        </xdr:cNvPr>
        <xdr:cNvSpPr txBox="1"/>
      </xdr:nvSpPr>
      <xdr:spPr>
        <a:xfrm>
          <a:off x="8267700" y="3821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234" name="TextBox 233">
          <a:extLst>
            <a:ext uri="{FF2B5EF4-FFF2-40B4-BE49-F238E27FC236}">
              <a16:creationId xmlns:a16="http://schemas.microsoft.com/office/drawing/2014/main" id="{00000000-0008-0000-0000-000007000000}"/>
            </a:ext>
          </a:extLst>
        </xdr:cNvPr>
        <xdr:cNvSpPr txBox="1"/>
      </xdr:nvSpPr>
      <xdr:spPr>
        <a:xfrm>
          <a:off x="8267700" y="3821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117</xdr:row>
      <xdr:rowOff>0</xdr:rowOff>
    </xdr:from>
    <xdr:ext cx="65" cy="172227"/>
    <xdr:sp macro="" textlink="">
      <xdr:nvSpPr>
        <xdr:cNvPr id="235" name="TextBox 234">
          <a:extLst>
            <a:ext uri="{FF2B5EF4-FFF2-40B4-BE49-F238E27FC236}">
              <a16:creationId xmlns:a16="http://schemas.microsoft.com/office/drawing/2014/main" id="{00000000-0008-0000-0000-000007000000}"/>
            </a:ext>
          </a:extLst>
        </xdr:cNvPr>
        <xdr:cNvSpPr txBox="1"/>
      </xdr:nvSpPr>
      <xdr:spPr>
        <a:xfrm>
          <a:off x="8267700" y="39311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117</xdr:row>
      <xdr:rowOff>0</xdr:rowOff>
    </xdr:from>
    <xdr:ext cx="65" cy="172227"/>
    <xdr:sp macro="" textlink="">
      <xdr:nvSpPr>
        <xdr:cNvPr id="236" name="TextBox 235">
          <a:extLst>
            <a:ext uri="{FF2B5EF4-FFF2-40B4-BE49-F238E27FC236}">
              <a16:creationId xmlns:a16="http://schemas.microsoft.com/office/drawing/2014/main" id="{00000000-0008-0000-0000-000007000000}"/>
            </a:ext>
          </a:extLst>
        </xdr:cNvPr>
        <xdr:cNvSpPr txBox="1"/>
      </xdr:nvSpPr>
      <xdr:spPr>
        <a:xfrm>
          <a:off x="8267700" y="39311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237" name="TextBox 236">
          <a:extLst>
            <a:ext uri="{FF2B5EF4-FFF2-40B4-BE49-F238E27FC236}">
              <a16:creationId xmlns:a16="http://schemas.microsoft.com/office/drawing/2014/main" id="{00000000-0008-0000-0000-000007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238" name="TextBox 237">
          <a:extLst>
            <a:ext uri="{FF2B5EF4-FFF2-40B4-BE49-F238E27FC236}">
              <a16:creationId xmlns:a16="http://schemas.microsoft.com/office/drawing/2014/main" id="{00000000-0008-0000-0000-000007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239" name="TextBox 238">
          <a:extLst>
            <a:ext uri="{FF2B5EF4-FFF2-40B4-BE49-F238E27FC236}">
              <a16:creationId xmlns:a16="http://schemas.microsoft.com/office/drawing/2014/main" id="{00000000-0008-0000-0000-000007000000}"/>
            </a:ext>
          </a:extLst>
        </xdr:cNvPr>
        <xdr:cNvSpPr txBox="1"/>
      </xdr:nvSpPr>
      <xdr:spPr>
        <a:xfrm>
          <a:off x="8267700" y="39677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240" name="TextBox 239">
          <a:extLst>
            <a:ext uri="{FF2B5EF4-FFF2-40B4-BE49-F238E27FC236}">
              <a16:creationId xmlns:a16="http://schemas.microsoft.com/office/drawing/2014/main" id="{00000000-0008-0000-0000-000007000000}"/>
            </a:ext>
          </a:extLst>
        </xdr:cNvPr>
        <xdr:cNvSpPr txBox="1"/>
      </xdr:nvSpPr>
      <xdr:spPr>
        <a:xfrm>
          <a:off x="8267700" y="39677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241" name="TextBox 240">
          <a:extLst>
            <a:ext uri="{FF2B5EF4-FFF2-40B4-BE49-F238E27FC236}">
              <a16:creationId xmlns:a16="http://schemas.microsoft.com/office/drawing/2014/main" id="{00000000-0008-0000-0000-000007000000}"/>
            </a:ext>
          </a:extLst>
        </xdr:cNvPr>
        <xdr:cNvSpPr txBox="1"/>
      </xdr:nvSpPr>
      <xdr:spPr>
        <a:xfrm>
          <a:off x="8267700" y="39860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242" name="TextBox 241">
          <a:extLst>
            <a:ext uri="{FF2B5EF4-FFF2-40B4-BE49-F238E27FC236}">
              <a16:creationId xmlns:a16="http://schemas.microsoft.com/office/drawing/2014/main" id="{00000000-0008-0000-0000-000007000000}"/>
            </a:ext>
          </a:extLst>
        </xdr:cNvPr>
        <xdr:cNvSpPr txBox="1"/>
      </xdr:nvSpPr>
      <xdr:spPr>
        <a:xfrm>
          <a:off x="8267700" y="39860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243" name="TextBox 242">
          <a:extLst>
            <a:ext uri="{FF2B5EF4-FFF2-40B4-BE49-F238E27FC236}">
              <a16:creationId xmlns:a16="http://schemas.microsoft.com/office/drawing/2014/main" id="{00000000-0008-0000-0000-000007000000}"/>
            </a:ext>
          </a:extLst>
        </xdr:cNvPr>
        <xdr:cNvSpPr txBox="1"/>
      </xdr:nvSpPr>
      <xdr:spPr>
        <a:xfrm>
          <a:off x="8267700" y="40043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244" name="TextBox 243">
          <a:extLst>
            <a:ext uri="{FF2B5EF4-FFF2-40B4-BE49-F238E27FC236}">
              <a16:creationId xmlns:a16="http://schemas.microsoft.com/office/drawing/2014/main" id="{00000000-0008-0000-0000-000007000000}"/>
            </a:ext>
          </a:extLst>
        </xdr:cNvPr>
        <xdr:cNvSpPr txBox="1"/>
      </xdr:nvSpPr>
      <xdr:spPr>
        <a:xfrm>
          <a:off x="8267700" y="40043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127</xdr:row>
      <xdr:rowOff>0</xdr:rowOff>
    </xdr:from>
    <xdr:ext cx="65" cy="172227"/>
    <xdr:sp macro="" textlink="">
      <xdr:nvSpPr>
        <xdr:cNvPr id="245" name="TextBox 244">
          <a:extLst>
            <a:ext uri="{FF2B5EF4-FFF2-40B4-BE49-F238E27FC236}">
              <a16:creationId xmlns:a16="http://schemas.microsoft.com/office/drawing/2014/main" id="{00000000-0008-0000-0000-000007000000}"/>
            </a:ext>
          </a:extLst>
        </xdr:cNvPr>
        <xdr:cNvSpPr txBox="1"/>
      </xdr:nvSpPr>
      <xdr:spPr>
        <a:xfrm>
          <a:off x="8267700" y="4114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127</xdr:row>
      <xdr:rowOff>0</xdr:rowOff>
    </xdr:from>
    <xdr:ext cx="65" cy="172227"/>
    <xdr:sp macro="" textlink="">
      <xdr:nvSpPr>
        <xdr:cNvPr id="246" name="TextBox 245">
          <a:extLst>
            <a:ext uri="{FF2B5EF4-FFF2-40B4-BE49-F238E27FC236}">
              <a16:creationId xmlns:a16="http://schemas.microsoft.com/office/drawing/2014/main" id="{00000000-0008-0000-0000-000007000000}"/>
            </a:ext>
          </a:extLst>
        </xdr:cNvPr>
        <xdr:cNvSpPr txBox="1"/>
      </xdr:nvSpPr>
      <xdr:spPr>
        <a:xfrm>
          <a:off x="8267700" y="4114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247" name="TextBox 246">
          <a:extLst>
            <a:ext uri="{FF2B5EF4-FFF2-40B4-BE49-F238E27FC236}">
              <a16:creationId xmlns:a16="http://schemas.microsoft.com/office/drawing/2014/main" id="{00000000-0008-0000-0000-000007000000}"/>
            </a:ext>
          </a:extLst>
        </xdr:cNvPr>
        <xdr:cNvSpPr txBox="1"/>
      </xdr:nvSpPr>
      <xdr:spPr>
        <a:xfrm>
          <a:off x="8267700" y="41323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248" name="TextBox 247">
          <a:extLst>
            <a:ext uri="{FF2B5EF4-FFF2-40B4-BE49-F238E27FC236}">
              <a16:creationId xmlns:a16="http://schemas.microsoft.com/office/drawing/2014/main" id="{00000000-0008-0000-0000-000007000000}"/>
            </a:ext>
          </a:extLst>
        </xdr:cNvPr>
        <xdr:cNvSpPr txBox="1"/>
      </xdr:nvSpPr>
      <xdr:spPr>
        <a:xfrm>
          <a:off x="8267700" y="41323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249" name="TextBox 248">
          <a:extLst>
            <a:ext uri="{FF2B5EF4-FFF2-40B4-BE49-F238E27FC236}">
              <a16:creationId xmlns:a16="http://schemas.microsoft.com/office/drawing/2014/main" id="{00000000-0008-0000-0000-000007000000}"/>
            </a:ext>
          </a:extLst>
        </xdr:cNvPr>
        <xdr:cNvSpPr txBox="1"/>
      </xdr:nvSpPr>
      <xdr:spPr>
        <a:xfrm>
          <a:off x="8267700" y="4150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250" name="TextBox 249">
          <a:extLst>
            <a:ext uri="{FF2B5EF4-FFF2-40B4-BE49-F238E27FC236}">
              <a16:creationId xmlns:a16="http://schemas.microsoft.com/office/drawing/2014/main" id="{00000000-0008-0000-0000-000007000000}"/>
            </a:ext>
          </a:extLst>
        </xdr:cNvPr>
        <xdr:cNvSpPr txBox="1"/>
      </xdr:nvSpPr>
      <xdr:spPr>
        <a:xfrm>
          <a:off x="8267700" y="4150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251" name="TextBox 250">
          <a:extLst>
            <a:ext uri="{FF2B5EF4-FFF2-40B4-BE49-F238E27FC236}">
              <a16:creationId xmlns:a16="http://schemas.microsoft.com/office/drawing/2014/main" id="{00000000-0008-0000-0000-000007000000}"/>
            </a:ext>
          </a:extLst>
        </xdr:cNvPr>
        <xdr:cNvSpPr txBox="1"/>
      </xdr:nvSpPr>
      <xdr:spPr>
        <a:xfrm>
          <a:off x="8267700" y="4168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252" name="TextBox 251">
          <a:extLst>
            <a:ext uri="{FF2B5EF4-FFF2-40B4-BE49-F238E27FC236}">
              <a16:creationId xmlns:a16="http://schemas.microsoft.com/office/drawing/2014/main" id="{00000000-0008-0000-0000-000007000000}"/>
            </a:ext>
          </a:extLst>
        </xdr:cNvPr>
        <xdr:cNvSpPr txBox="1"/>
      </xdr:nvSpPr>
      <xdr:spPr>
        <a:xfrm>
          <a:off x="8267700" y="4168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253" name="TextBox 252">
          <a:extLst>
            <a:ext uri="{FF2B5EF4-FFF2-40B4-BE49-F238E27FC236}">
              <a16:creationId xmlns:a16="http://schemas.microsoft.com/office/drawing/2014/main" id="{00000000-0008-0000-0000-000007000000}"/>
            </a:ext>
          </a:extLst>
        </xdr:cNvPr>
        <xdr:cNvSpPr txBox="1"/>
      </xdr:nvSpPr>
      <xdr:spPr>
        <a:xfrm>
          <a:off x="8267700" y="4187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254" name="TextBox 253">
          <a:extLst>
            <a:ext uri="{FF2B5EF4-FFF2-40B4-BE49-F238E27FC236}">
              <a16:creationId xmlns:a16="http://schemas.microsoft.com/office/drawing/2014/main" id="{00000000-0008-0000-0000-000007000000}"/>
            </a:ext>
          </a:extLst>
        </xdr:cNvPr>
        <xdr:cNvSpPr txBox="1"/>
      </xdr:nvSpPr>
      <xdr:spPr>
        <a:xfrm>
          <a:off x="8267700" y="4187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258" name="TextBox 257">
          <a:extLst>
            <a:ext uri="{FF2B5EF4-FFF2-40B4-BE49-F238E27FC236}">
              <a16:creationId xmlns:a16="http://schemas.microsoft.com/office/drawing/2014/main" id="{00000000-0008-0000-0000-000007000000}"/>
            </a:ext>
          </a:extLst>
        </xdr:cNvPr>
        <xdr:cNvSpPr txBox="1"/>
      </xdr:nvSpPr>
      <xdr:spPr>
        <a:xfrm>
          <a:off x="8267700" y="3283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82</xdr:row>
      <xdr:rowOff>0</xdr:rowOff>
    </xdr:from>
    <xdr:ext cx="65" cy="172227"/>
    <xdr:sp macro="" textlink="">
      <xdr:nvSpPr>
        <xdr:cNvPr id="262" name="TextBox 261">
          <a:extLst>
            <a:ext uri="{FF2B5EF4-FFF2-40B4-BE49-F238E27FC236}">
              <a16:creationId xmlns:a16="http://schemas.microsoft.com/office/drawing/2014/main" id="{00000000-0008-0000-0000-000007000000}"/>
            </a:ext>
          </a:extLst>
        </xdr:cNvPr>
        <xdr:cNvSpPr txBox="1"/>
      </xdr:nvSpPr>
      <xdr:spPr>
        <a:xfrm>
          <a:off x="8267700" y="3283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263" name="TextBox 262">
          <a:extLst>
            <a:ext uri="{FF2B5EF4-FFF2-40B4-BE49-F238E27FC236}">
              <a16:creationId xmlns:a16="http://schemas.microsoft.com/office/drawing/2014/main" id="{00000000-0008-0000-0000-000007000000}"/>
            </a:ext>
          </a:extLst>
        </xdr:cNvPr>
        <xdr:cNvSpPr txBox="1"/>
      </xdr:nvSpPr>
      <xdr:spPr>
        <a:xfrm>
          <a:off x="8267700" y="3303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264" name="TextBox 263">
          <a:extLst>
            <a:ext uri="{FF2B5EF4-FFF2-40B4-BE49-F238E27FC236}">
              <a16:creationId xmlns:a16="http://schemas.microsoft.com/office/drawing/2014/main" id="{00000000-0008-0000-0000-000007000000}"/>
            </a:ext>
          </a:extLst>
        </xdr:cNvPr>
        <xdr:cNvSpPr txBox="1"/>
      </xdr:nvSpPr>
      <xdr:spPr>
        <a:xfrm>
          <a:off x="8267700" y="3303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265" name="TextBox 264">
          <a:extLst>
            <a:ext uri="{FF2B5EF4-FFF2-40B4-BE49-F238E27FC236}">
              <a16:creationId xmlns:a16="http://schemas.microsoft.com/office/drawing/2014/main" id="{00000000-0008-0000-0000-000007000000}"/>
            </a:ext>
          </a:extLst>
        </xdr:cNvPr>
        <xdr:cNvSpPr txBox="1"/>
      </xdr:nvSpPr>
      <xdr:spPr>
        <a:xfrm>
          <a:off x="8267700" y="33230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266" name="TextBox 265">
          <a:extLst>
            <a:ext uri="{FF2B5EF4-FFF2-40B4-BE49-F238E27FC236}">
              <a16:creationId xmlns:a16="http://schemas.microsoft.com/office/drawing/2014/main" id="{00000000-0008-0000-0000-000007000000}"/>
            </a:ext>
          </a:extLst>
        </xdr:cNvPr>
        <xdr:cNvSpPr txBox="1"/>
      </xdr:nvSpPr>
      <xdr:spPr>
        <a:xfrm>
          <a:off x="8267700" y="33230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267" name="TextBox 266">
          <a:extLst>
            <a:ext uri="{FF2B5EF4-FFF2-40B4-BE49-F238E27FC236}">
              <a16:creationId xmlns:a16="http://schemas.microsoft.com/office/drawing/2014/main" id="{00000000-0008-0000-0000-000007000000}"/>
            </a:ext>
          </a:extLst>
        </xdr:cNvPr>
        <xdr:cNvSpPr txBox="1"/>
      </xdr:nvSpPr>
      <xdr:spPr>
        <a:xfrm>
          <a:off x="8267700" y="33428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268" name="TextBox 267">
          <a:extLst>
            <a:ext uri="{FF2B5EF4-FFF2-40B4-BE49-F238E27FC236}">
              <a16:creationId xmlns:a16="http://schemas.microsoft.com/office/drawing/2014/main" id="{00000000-0008-0000-0000-000007000000}"/>
            </a:ext>
          </a:extLst>
        </xdr:cNvPr>
        <xdr:cNvSpPr txBox="1"/>
      </xdr:nvSpPr>
      <xdr:spPr>
        <a:xfrm>
          <a:off x="8267700" y="33428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269" name="TextBox 268">
          <a:extLst>
            <a:ext uri="{FF2B5EF4-FFF2-40B4-BE49-F238E27FC236}">
              <a16:creationId xmlns:a16="http://schemas.microsoft.com/office/drawing/2014/main" id="{00000000-0008-0000-0000-000007000000}"/>
            </a:ext>
          </a:extLst>
        </xdr:cNvPr>
        <xdr:cNvSpPr txBox="1"/>
      </xdr:nvSpPr>
      <xdr:spPr>
        <a:xfrm>
          <a:off x="8267700" y="33627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270" name="TextBox 269">
          <a:extLst>
            <a:ext uri="{FF2B5EF4-FFF2-40B4-BE49-F238E27FC236}">
              <a16:creationId xmlns:a16="http://schemas.microsoft.com/office/drawing/2014/main" id="{00000000-0008-0000-0000-000007000000}"/>
            </a:ext>
          </a:extLst>
        </xdr:cNvPr>
        <xdr:cNvSpPr txBox="1"/>
      </xdr:nvSpPr>
      <xdr:spPr>
        <a:xfrm>
          <a:off x="8267700" y="33627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271" name="TextBox 270">
          <a:extLst>
            <a:ext uri="{FF2B5EF4-FFF2-40B4-BE49-F238E27FC236}">
              <a16:creationId xmlns:a16="http://schemas.microsoft.com/office/drawing/2014/main" id="{00000000-0008-0000-0000-000007000000}"/>
            </a:ext>
          </a:extLst>
        </xdr:cNvPr>
        <xdr:cNvSpPr txBox="1"/>
      </xdr:nvSpPr>
      <xdr:spPr>
        <a:xfrm>
          <a:off x="8267700" y="33825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272" name="TextBox 271">
          <a:extLst>
            <a:ext uri="{FF2B5EF4-FFF2-40B4-BE49-F238E27FC236}">
              <a16:creationId xmlns:a16="http://schemas.microsoft.com/office/drawing/2014/main" id="{00000000-0008-0000-0000-000007000000}"/>
            </a:ext>
          </a:extLst>
        </xdr:cNvPr>
        <xdr:cNvSpPr txBox="1"/>
      </xdr:nvSpPr>
      <xdr:spPr>
        <a:xfrm>
          <a:off x="8267700" y="33825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273" name="TextBox 272">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274" name="TextBox 273">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275" name="TextBox 274">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276" name="TextBox 275">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277" name="TextBox 276">
          <a:extLst>
            <a:ext uri="{FF2B5EF4-FFF2-40B4-BE49-F238E27FC236}">
              <a16:creationId xmlns:a16="http://schemas.microsoft.com/office/drawing/2014/main" id="{00000000-0008-0000-0000-000007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278" name="TextBox 277">
          <a:extLst>
            <a:ext uri="{FF2B5EF4-FFF2-40B4-BE49-F238E27FC236}">
              <a16:creationId xmlns:a16="http://schemas.microsoft.com/office/drawing/2014/main" id="{00000000-0008-0000-0000-000007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279" name="TextBox 278">
          <a:extLst>
            <a:ext uri="{FF2B5EF4-FFF2-40B4-BE49-F238E27FC236}">
              <a16:creationId xmlns:a16="http://schemas.microsoft.com/office/drawing/2014/main" id="{00000000-0008-0000-0000-000007000000}"/>
            </a:ext>
          </a:extLst>
        </xdr:cNvPr>
        <xdr:cNvSpPr txBox="1"/>
      </xdr:nvSpPr>
      <xdr:spPr>
        <a:xfrm>
          <a:off x="8267700" y="3455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280" name="TextBox 279">
          <a:extLst>
            <a:ext uri="{FF2B5EF4-FFF2-40B4-BE49-F238E27FC236}">
              <a16:creationId xmlns:a16="http://schemas.microsoft.com/office/drawing/2014/main" id="{00000000-0008-0000-0000-000007000000}"/>
            </a:ext>
          </a:extLst>
        </xdr:cNvPr>
        <xdr:cNvSpPr txBox="1"/>
      </xdr:nvSpPr>
      <xdr:spPr>
        <a:xfrm>
          <a:off x="8267700" y="3455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97</xdr:row>
      <xdr:rowOff>0</xdr:rowOff>
    </xdr:from>
    <xdr:ext cx="65" cy="172227"/>
    <xdr:sp macro="" textlink="">
      <xdr:nvSpPr>
        <xdr:cNvPr id="281" name="TextBox 280">
          <a:extLst>
            <a:ext uri="{FF2B5EF4-FFF2-40B4-BE49-F238E27FC236}">
              <a16:creationId xmlns:a16="http://schemas.microsoft.com/office/drawing/2014/main" id="{00000000-0008-0000-0000-000007000000}"/>
            </a:ext>
          </a:extLst>
        </xdr:cNvPr>
        <xdr:cNvSpPr txBox="1"/>
      </xdr:nvSpPr>
      <xdr:spPr>
        <a:xfrm>
          <a:off x="8267700" y="35653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97</xdr:row>
      <xdr:rowOff>0</xdr:rowOff>
    </xdr:from>
    <xdr:ext cx="65" cy="172227"/>
    <xdr:sp macro="" textlink="">
      <xdr:nvSpPr>
        <xdr:cNvPr id="282" name="TextBox 281">
          <a:extLst>
            <a:ext uri="{FF2B5EF4-FFF2-40B4-BE49-F238E27FC236}">
              <a16:creationId xmlns:a16="http://schemas.microsoft.com/office/drawing/2014/main" id="{00000000-0008-0000-0000-000007000000}"/>
            </a:ext>
          </a:extLst>
        </xdr:cNvPr>
        <xdr:cNvSpPr txBox="1"/>
      </xdr:nvSpPr>
      <xdr:spPr>
        <a:xfrm>
          <a:off x="8267700" y="35653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283" name="TextBox 282">
          <a:extLst>
            <a:ext uri="{FF2B5EF4-FFF2-40B4-BE49-F238E27FC236}">
              <a16:creationId xmlns:a16="http://schemas.microsoft.com/office/drawing/2014/main" id="{00000000-0008-0000-0000-000007000000}"/>
            </a:ext>
          </a:extLst>
        </xdr:cNvPr>
        <xdr:cNvSpPr txBox="1"/>
      </xdr:nvSpPr>
      <xdr:spPr>
        <a:xfrm>
          <a:off x="8267700" y="35836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284" name="TextBox 283">
          <a:extLst>
            <a:ext uri="{FF2B5EF4-FFF2-40B4-BE49-F238E27FC236}">
              <a16:creationId xmlns:a16="http://schemas.microsoft.com/office/drawing/2014/main" id="{00000000-0008-0000-0000-000007000000}"/>
            </a:ext>
          </a:extLst>
        </xdr:cNvPr>
        <xdr:cNvSpPr txBox="1"/>
      </xdr:nvSpPr>
      <xdr:spPr>
        <a:xfrm>
          <a:off x="8267700" y="35836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285" name="TextBox 284">
          <a:extLst>
            <a:ext uri="{FF2B5EF4-FFF2-40B4-BE49-F238E27FC236}">
              <a16:creationId xmlns:a16="http://schemas.microsoft.com/office/drawing/2014/main" id="{00000000-0008-0000-0000-000007000000}"/>
            </a:ext>
          </a:extLst>
        </xdr:cNvPr>
        <xdr:cNvSpPr txBox="1"/>
      </xdr:nvSpPr>
      <xdr:spPr>
        <a:xfrm>
          <a:off x="8267700" y="36019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286" name="TextBox 285">
          <a:extLst>
            <a:ext uri="{FF2B5EF4-FFF2-40B4-BE49-F238E27FC236}">
              <a16:creationId xmlns:a16="http://schemas.microsoft.com/office/drawing/2014/main" id="{00000000-0008-0000-0000-000007000000}"/>
            </a:ext>
          </a:extLst>
        </xdr:cNvPr>
        <xdr:cNvSpPr txBox="1"/>
      </xdr:nvSpPr>
      <xdr:spPr>
        <a:xfrm>
          <a:off x="8267700" y="36019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287" name="TextBox 286">
          <a:extLst>
            <a:ext uri="{FF2B5EF4-FFF2-40B4-BE49-F238E27FC236}">
              <a16:creationId xmlns:a16="http://schemas.microsoft.com/office/drawing/2014/main" id="{00000000-0008-0000-0000-000007000000}"/>
            </a:ext>
          </a:extLst>
        </xdr:cNvPr>
        <xdr:cNvSpPr txBox="1"/>
      </xdr:nvSpPr>
      <xdr:spPr>
        <a:xfrm>
          <a:off x="8267700" y="36202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288" name="TextBox 287">
          <a:extLst>
            <a:ext uri="{FF2B5EF4-FFF2-40B4-BE49-F238E27FC236}">
              <a16:creationId xmlns:a16="http://schemas.microsoft.com/office/drawing/2014/main" id="{00000000-0008-0000-0000-000007000000}"/>
            </a:ext>
          </a:extLst>
        </xdr:cNvPr>
        <xdr:cNvSpPr txBox="1"/>
      </xdr:nvSpPr>
      <xdr:spPr>
        <a:xfrm>
          <a:off x="8267700" y="36202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289" name="TextBox 288">
          <a:extLst>
            <a:ext uri="{FF2B5EF4-FFF2-40B4-BE49-F238E27FC236}">
              <a16:creationId xmlns:a16="http://schemas.microsoft.com/office/drawing/2014/main" id="{00000000-0008-0000-0000-000007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290" name="TextBox 289">
          <a:extLst>
            <a:ext uri="{FF2B5EF4-FFF2-40B4-BE49-F238E27FC236}">
              <a16:creationId xmlns:a16="http://schemas.microsoft.com/office/drawing/2014/main" id="{00000000-0008-0000-0000-000007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107</xdr:row>
      <xdr:rowOff>0</xdr:rowOff>
    </xdr:from>
    <xdr:ext cx="65" cy="172227"/>
    <xdr:sp macro="" textlink="">
      <xdr:nvSpPr>
        <xdr:cNvPr id="291" name="TextBox 290">
          <a:extLst>
            <a:ext uri="{FF2B5EF4-FFF2-40B4-BE49-F238E27FC236}">
              <a16:creationId xmlns:a16="http://schemas.microsoft.com/office/drawing/2014/main" id="{00000000-0008-0000-0000-000007000000}"/>
            </a:ext>
          </a:extLst>
        </xdr:cNvPr>
        <xdr:cNvSpPr txBox="1"/>
      </xdr:nvSpPr>
      <xdr:spPr>
        <a:xfrm>
          <a:off x="8267700" y="3748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107</xdr:row>
      <xdr:rowOff>0</xdr:rowOff>
    </xdr:from>
    <xdr:ext cx="65" cy="172227"/>
    <xdr:sp macro="" textlink="">
      <xdr:nvSpPr>
        <xdr:cNvPr id="292" name="TextBox 291">
          <a:extLst>
            <a:ext uri="{FF2B5EF4-FFF2-40B4-BE49-F238E27FC236}">
              <a16:creationId xmlns:a16="http://schemas.microsoft.com/office/drawing/2014/main" id="{00000000-0008-0000-0000-000007000000}"/>
            </a:ext>
          </a:extLst>
        </xdr:cNvPr>
        <xdr:cNvSpPr txBox="1"/>
      </xdr:nvSpPr>
      <xdr:spPr>
        <a:xfrm>
          <a:off x="8267700" y="3748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293" name="TextBox 292">
          <a:extLst>
            <a:ext uri="{FF2B5EF4-FFF2-40B4-BE49-F238E27FC236}">
              <a16:creationId xmlns:a16="http://schemas.microsoft.com/office/drawing/2014/main" id="{00000000-0008-0000-0000-000007000000}"/>
            </a:ext>
          </a:extLst>
        </xdr:cNvPr>
        <xdr:cNvSpPr txBox="1"/>
      </xdr:nvSpPr>
      <xdr:spPr>
        <a:xfrm>
          <a:off x="8267700" y="3766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294" name="TextBox 293">
          <a:extLst>
            <a:ext uri="{FF2B5EF4-FFF2-40B4-BE49-F238E27FC236}">
              <a16:creationId xmlns:a16="http://schemas.microsoft.com/office/drawing/2014/main" id="{00000000-0008-0000-0000-000007000000}"/>
            </a:ext>
          </a:extLst>
        </xdr:cNvPr>
        <xdr:cNvSpPr txBox="1"/>
      </xdr:nvSpPr>
      <xdr:spPr>
        <a:xfrm>
          <a:off x="8267700" y="3766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295" name="TextBox 294">
          <a:extLst>
            <a:ext uri="{FF2B5EF4-FFF2-40B4-BE49-F238E27FC236}">
              <a16:creationId xmlns:a16="http://schemas.microsoft.com/office/drawing/2014/main" id="{00000000-0008-0000-0000-000007000000}"/>
            </a:ext>
          </a:extLst>
        </xdr:cNvPr>
        <xdr:cNvSpPr txBox="1"/>
      </xdr:nvSpPr>
      <xdr:spPr>
        <a:xfrm>
          <a:off x="8267700" y="3784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296" name="TextBox 295">
          <a:extLst>
            <a:ext uri="{FF2B5EF4-FFF2-40B4-BE49-F238E27FC236}">
              <a16:creationId xmlns:a16="http://schemas.microsoft.com/office/drawing/2014/main" id="{00000000-0008-0000-0000-000007000000}"/>
            </a:ext>
          </a:extLst>
        </xdr:cNvPr>
        <xdr:cNvSpPr txBox="1"/>
      </xdr:nvSpPr>
      <xdr:spPr>
        <a:xfrm>
          <a:off x="8267700" y="3784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297" name="TextBox 296">
          <a:extLst>
            <a:ext uri="{FF2B5EF4-FFF2-40B4-BE49-F238E27FC236}">
              <a16:creationId xmlns:a16="http://schemas.microsoft.com/office/drawing/2014/main" id="{00000000-0008-0000-0000-000007000000}"/>
            </a:ext>
          </a:extLst>
        </xdr:cNvPr>
        <xdr:cNvSpPr txBox="1"/>
      </xdr:nvSpPr>
      <xdr:spPr>
        <a:xfrm>
          <a:off x="8267700" y="38031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298" name="TextBox 297">
          <a:extLst>
            <a:ext uri="{FF2B5EF4-FFF2-40B4-BE49-F238E27FC236}">
              <a16:creationId xmlns:a16="http://schemas.microsoft.com/office/drawing/2014/main" id="{00000000-0008-0000-0000-000007000000}"/>
            </a:ext>
          </a:extLst>
        </xdr:cNvPr>
        <xdr:cNvSpPr txBox="1"/>
      </xdr:nvSpPr>
      <xdr:spPr>
        <a:xfrm>
          <a:off x="8267700" y="38031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299" name="TextBox 298">
          <a:extLst>
            <a:ext uri="{FF2B5EF4-FFF2-40B4-BE49-F238E27FC236}">
              <a16:creationId xmlns:a16="http://schemas.microsoft.com/office/drawing/2014/main" id="{00000000-0008-0000-0000-000007000000}"/>
            </a:ext>
          </a:extLst>
        </xdr:cNvPr>
        <xdr:cNvSpPr txBox="1"/>
      </xdr:nvSpPr>
      <xdr:spPr>
        <a:xfrm>
          <a:off x="8267700" y="3821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300" name="TextBox 299">
          <a:extLst>
            <a:ext uri="{FF2B5EF4-FFF2-40B4-BE49-F238E27FC236}">
              <a16:creationId xmlns:a16="http://schemas.microsoft.com/office/drawing/2014/main" id="{00000000-0008-0000-0000-000007000000}"/>
            </a:ext>
          </a:extLst>
        </xdr:cNvPr>
        <xdr:cNvSpPr txBox="1"/>
      </xdr:nvSpPr>
      <xdr:spPr>
        <a:xfrm>
          <a:off x="8267700" y="3821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117</xdr:row>
      <xdr:rowOff>0</xdr:rowOff>
    </xdr:from>
    <xdr:ext cx="65" cy="172227"/>
    <xdr:sp macro="" textlink="">
      <xdr:nvSpPr>
        <xdr:cNvPr id="301" name="TextBox 300">
          <a:extLst>
            <a:ext uri="{FF2B5EF4-FFF2-40B4-BE49-F238E27FC236}">
              <a16:creationId xmlns:a16="http://schemas.microsoft.com/office/drawing/2014/main" id="{00000000-0008-0000-0000-000007000000}"/>
            </a:ext>
          </a:extLst>
        </xdr:cNvPr>
        <xdr:cNvSpPr txBox="1"/>
      </xdr:nvSpPr>
      <xdr:spPr>
        <a:xfrm>
          <a:off x="8267700" y="39311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117</xdr:row>
      <xdr:rowOff>0</xdr:rowOff>
    </xdr:from>
    <xdr:ext cx="65" cy="172227"/>
    <xdr:sp macro="" textlink="">
      <xdr:nvSpPr>
        <xdr:cNvPr id="302" name="TextBox 301">
          <a:extLst>
            <a:ext uri="{FF2B5EF4-FFF2-40B4-BE49-F238E27FC236}">
              <a16:creationId xmlns:a16="http://schemas.microsoft.com/office/drawing/2014/main" id="{00000000-0008-0000-0000-000007000000}"/>
            </a:ext>
          </a:extLst>
        </xdr:cNvPr>
        <xdr:cNvSpPr txBox="1"/>
      </xdr:nvSpPr>
      <xdr:spPr>
        <a:xfrm>
          <a:off x="8267700" y="39311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303" name="TextBox 302">
          <a:extLst>
            <a:ext uri="{FF2B5EF4-FFF2-40B4-BE49-F238E27FC236}">
              <a16:creationId xmlns:a16="http://schemas.microsoft.com/office/drawing/2014/main" id="{00000000-0008-0000-0000-000007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304" name="TextBox 303">
          <a:extLst>
            <a:ext uri="{FF2B5EF4-FFF2-40B4-BE49-F238E27FC236}">
              <a16:creationId xmlns:a16="http://schemas.microsoft.com/office/drawing/2014/main" id="{00000000-0008-0000-0000-000007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305" name="TextBox 304">
          <a:extLst>
            <a:ext uri="{FF2B5EF4-FFF2-40B4-BE49-F238E27FC236}">
              <a16:creationId xmlns:a16="http://schemas.microsoft.com/office/drawing/2014/main" id="{00000000-0008-0000-0000-000007000000}"/>
            </a:ext>
          </a:extLst>
        </xdr:cNvPr>
        <xdr:cNvSpPr txBox="1"/>
      </xdr:nvSpPr>
      <xdr:spPr>
        <a:xfrm>
          <a:off x="8267700" y="39677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306" name="TextBox 305">
          <a:extLst>
            <a:ext uri="{FF2B5EF4-FFF2-40B4-BE49-F238E27FC236}">
              <a16:creationId xmlns:a16="http://schemas.microsoft.com/office/drawing/2014/main" id="{00000000-0008-0000-0000-000007000000}"/>
            </a:ext>
          </a:extLst>
        </xdr:cNvPr>
        <xdr:cNvSpPr txBox="1"/>
      </xdr:nvSpPr>
      <xdr:spPr>
        <a:xfrm>
          <a:off x="8267700" y="39677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307" name="TextBox 306">
          <a:extLst>
            <a:ext uri="{FF2B5EF4-FFF2-40B4-BE49-F238E27FC236}">
              <a16:creationId xmlns:a16="http://schemas.microsoft.com/office/drawing/2014/main" id="{00000000-0008-0000-0000-000007000000}"/>
            </a:ext>
          </a:extLst>
        </xdr:cNvPr>
        <xdr:cNvSpPr txBox="1"/>
      </xdr:nvSpPr>
      <xdr:spPr>
        <a:xfrm>
          <a:off x="8267700" y="39860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308" name="TextBox 307">
          <a:extLst>
            <a:ext uri="{FF2B5EF4-FFF2-40B4-BE49-F238E27FC236}">
              <a16:creationId xmlns:a16="http://schemas.microsoft.com/office/drawing/2014/main" id="{00000000-0008-0000-0000-000007000000}"/>
            </a:ext>
          </a:extLst>
        </xdr:cNvPr>
        <xdr:cNvSpPr txBox="1"/>
      </xdr:nvSpPr>
      <xdr:spPr>
        <a:xfrm>
          <a:off x="8267700" y="39860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309" name="TextBox 308">
          <a:extLst>
            <a:ext uri="{FF2B5EF4-FFF2-40B4-BE49-F238E27FC236}">
              <a16:creationId xmlns:a16="http://schemas.microsoft.com/office/drawing/2014/main" id="{00000000-0008-0000-0000-000007000000}"/>
            </a:ext>
          </a:extLst>
        </xdr:cNvPr>
        <xdr:cNvSpPr txBox="1"/>
      </xdr:nvSpPr>
      <xdr:spPr>
        <a:xfrm>
          <a:off x="8267700" y="40043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310" name="TextBox 309">
          <a:extLst>
            <a:ext uri="{FF2B5EF4-FFF2-40B4-BE49-F238E27FC236}">
              <a16:creationId xmlns:a16="http://schemas.microsoft.com/office/drawing/2014/main" id="{00000000-0008-0000-0000-000007000000}"/>
            </a:ext>
          </a:extLst>
        </xdr:cNvPr>
        <xdr:cNvSpPr txBox="1"/>
      </xdr:nvSpPr>
      <xdr:spPr>
        <a:xfrm>
          <a:off x="8267700" y="40043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127</xdr:row>
      <xdr:rowOff>0</xdr:rowOff>
    </xdr:from>
    <xdr:ext cx="65" cy="172227"/>
    <xdr:sp macro="" textlink="">
      <xdr:nvSpPr>
        <xdr:cNvPr id="311" name="TextBox 310">
          <a:extLst>
            <a:ext uri="{FF2B5EF4-FFF2-40B4-BE49-F238E27FC236}">
              <a16:creationId xmlns:a16="http://schemas.microsoft.com/office/drawing/2014/main" id="{00000000-0008-0000-0000-000007000000}"/>
            </a:ext>
          </a:extLst>
        </xdr:cNvPr>
        <xdr:cNvSpPr txBox="1"/>
      </xdr:nvSpPr>
      <xdr:spPr>
        <a:xfrm>
          <a:off x="8267700" y="4114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127</xdr:row>
      <xdr:rowOff>0</xdr:rowOff>
    </xdr:from>
    <xdr:ext cx="65" cy="172227"/>
    <xdr:sp macro="" textlink="">
      <xdr:nvSpPr>
        <xdr:cNvPr id="312" name="TextBox 311">
          <a:extLst>
            <a:ext uri="{FF2B5EF4-FFF2-40B4-BE49-F238E27FC236}">
              <a16:creationId xmlns:a16="http://schemas.microsoft.com/office/drawing/2014/main" id="{00000000-0008-0000-0000-000007000000}"/>
            </a:ext>
          </a:extLst>
        </xdr:cNvPr>
        <xdr:cNvSpPr txBox="1"/>
      </xdr:nvSpPr>
      <xdr:spPr>
        <a:xfrm>
          <a:off x="8267700" y="41140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313" name="TextBox 312">
          <a:extLst>
            <a:ext uri="{FF2B5EF4-FFF2-40B4-BE49-F238E27FC236}">
              <a16:creationId xmlns:a16="http://schemas.microsoft.com/office/drawing/2014/main" id="{00000000-0008-0000-0000-000007000000}"/>
            </a:ext>
          </a:extLst>
        </xdr:cNvPr>
        <xdr:cNvSpPr txBox="1"/>
      </xdr:nvSpPr>
      <xdr:spPr>
        <a:xfrm>
          <a:off x="8267700" y="41323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314" name="TextBox 313">
          <a:extLst>
            <a:ext uri="{FF2B5EF4-FFF2-40B4-BE49-F238E27FC236}">
              <a16:creationId xmlns:a16="http://schemas.microsoft.com/office/drawing/2014/main" id="{00000000-0008-0000-0000-000007000000}"/>
            </a:ext>
          </a:extLst>
        </xdr:cNvPr>
        <xdr:cNvSpPr txBox="1"/>
      </xdr:nvSpPr>
      <xdr:spPr>
        <a:xfrm>
          <a:off x="8267700" y="41323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315" name="TextBox 314">
          <a:extLst>
            <a:ext uri="{FF2B5EF4-FFF2-40B4-BE49-F238E27FC236}">
              <a16:creationId xmlns:a16="http://schemas.microsoft.com/office/drawing/2014/main" id="{00000000-0008-0000-0000-000007000000}"/>
            </a:ext>
          </a:extLst>
        </xdr:cNvPr>
        <xdr:cNvSpPr txBox="1"/>
      </xdr:nvSpPr>
      <xdr:spPr>
        <a:xfrm>
          <a:off x="8267700" y="4150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316" name="TextBox 315">
          <a:extLst>
            <a:ext uri="{FF2B5EF4-FFF2-40B4-BE49-F238E27FC236}">
              <a16:creationId xmlns:a16="http://schemas.microsoft.com/office/drawing/2014/main" id="{00000000-0008-0000-0000-000007000000}"/>
            </a:ext>
          </a:extLst>
        </xdr:cNvPr>
        <xdr:cNvSpPr txBox="1"/>
      </xdr:nvSpPr>
      <xdr:spPr>
        <a:xfrm>
          <a:off x="8267700" y="4150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317" name="TextBox 316">
          <a:extLst>
            <a:ext uri="{FF2B5EF4-FFF2-40B4-BE49-F238E27FC236}">
              <a16:creationId xmlns:a16="http://schemas.microsoft.com/office/drawing/2014/main" id="{00000000-0008-0000-0000-000007000000}"/>
            </a:ext>
          </a:extLst>
        </xdr:cNvPr>
        <xdr:cNvSpPr txBox="1"/>
      </xdr:nvSpPr>
      <xdr:spPr>
        <a:xfrm>
          <a:off x="8267700" y="4168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318" name="TextBox 317">
          <a:extLst>
            <a:ext uri="{FF2B5EF4-FFF2-40B4-BE49-F238E27FC236}">
              <a16:creationId xmlns:a16="http://schemas.microsoft.com/office/drawing/2014/main" id="{00000000-0008-0000-0000-000007000000}"/>
            </a:ext>
          </a:extLst>
        </xdr:cNvPr>
        <xdr:cNvSpPr txBox="1"/>
      </xdr:nvSpPr>
      <xdr:spPr>
        <a:xfrm>
          <a:off x="8267700" y="4168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319" name="TextBox 318">
          <a:extLst>
            <a:ext uri="{FF2B5EF4-FFF2-40B4-BE49-F238E27FC236}">
              <a16:creationId xmlns:a16="http://schemas.microsoft.com/office/drawing/2014/main" id="{00000000-0008-0000-0000-000007000000}"/>
            </a:ext>
          </a:extLst>
        </xdr:cNvPr>
        <xdr:cNvSpPr txBox="1"/>
      </xdr:nvSpPr>
      <xdr:spPr>
        <a:xfrm>
          <a:off x="8267700" y="4187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320" name="TextBox 319">
          <a:extLst>
            <a:ext uri="{FF2B5EF4-FFF2-40B4-BE49-F238E27FC236}">
              <a16:creationId xmlns:a16="http://schemas.microsoft.com/office/drawing/2014/main" id="{00000000-0008-0000-0000-000007000000}"/>
            </a:ext>
          </a:extLst>
        </xdr:cNvPr>
        <xdr:cNvSpPr txBox="1"/>
      </xdr:nvSpPr>
      <xdr:spPr>
        <a:xfrm>
          <a:off x="8267700" y="4187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324" name="TextBox 323">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328" name="TextBox 327">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329" name="TextBox 328">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330" name="TextBox 329">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331" name="TextBox 330">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332" name="TextBox 331">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333" name="TextBox 332">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334" name="TextBox 333">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335" name="TextBox 334">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336" name="TextBox 335">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337" name="TextBox 336">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338" name="TextBox 337">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339" name="TextBox 338">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340" name="TextBox 339">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341" name="TextBox 340">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342" name="TextBox 341">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343" name="TextBox 342">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344" name="TextBox 343">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345" name="TextBox 344">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346" name="TextBox 345">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347" name="TextBox 346">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348" name="TextBox 347">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349" name="TextBox 348">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350" name="TextBox 349">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351" name="TextBox 350">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352" name="TextBox 351">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353" name="TextBox 352">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354" name="TextBox 353">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355" name="TextBox 354">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356" name="TextBox 355">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357" name="TextBox 356">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358" name="TextBox 357">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359" name="TextBox 358">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360" name="TextBox 359">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361" name="TextBox 360">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362" name="TextBox 361">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363" name="TextBox 362">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364" name="TextBox 363">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365" name="TextBox 364">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366" name="TextBox 365">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367" name="TextBox 366">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368" name="TextBox 367">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369" name="TextBox 368">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370" name="TextBox 369">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371" name="TextBox 370">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372" name="TextBox 371">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373" name="TextBox 372">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374" name="TextBox 373">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375" name="TextBox 374">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376" name="TextBox 375">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377" name="TextBox 376">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378" name="TextBox 377">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379" name="TextBox 378">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380" name="TextBox 379">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381" name="TextBox 380">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382" name="TextBox 381">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383" name="TextBox 382">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384" name="TextBox 383">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385" name="TextBox 384">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386" name="TextBox 385">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387" name="TextBox 386">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388" name="TextBox 387">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389" name="TextBox 388">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390" name="TextBox 389">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391" name="TextBox 390">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392" name="TextBox 391">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393" name="TextBox 392">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394" name="TextBox 393">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398" name="TextBox 397">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402" name="TextBox 401">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403" name="TextBox 402">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404" name="TextBox 403">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405" name="TextBox 404">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406" name="TextBox 405">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407" name="TextBox 406">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408" name="TextBox 407">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409" name="TextBox 408">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410" name="TextBox 409">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411" name="TextBox 410">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412" name="TextBox 411">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413" name="TextBox 412">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414" name="TextBox 413">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415" name="TextBox 414">
          <a:extLst>
            <a:ext uri="{FF2B5EF4-FFF2-40B4-BE49-F238E27FC236}">
              <a16:creationId xmlns:a16="http://schemas.microsoft.com/office/drawing/2014/main" id="{00000000-0008-0000-0000-000007000000}"/>
            </a:ext>
          </a:extLst>
        </xdr:cNvPr>
        <xdr:cNvSpPr txBox="1"/>
      </xdr:nvSpPr>
      <xdr:spPr>
        <a:xfrm>
          <a:off x="8267700" y="34831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416" name="TextBox 415">
          <a:extLst>
            <a:ext uri="{FF2B5EF4-FFF2-40B4-BE49-F238E27FC236}">
              <a16:creationId xmlns:a16="http://schemas.microsoft.com/office/drawing/2014/main" id="{00000000-0008-0000-0000-000007000000}"/>
            </a:ext>
          </a:extLst>
        </xdr:cNvPr>
        <xdr:cNvSpPr txBox="1"/>
      </xdr:nvSpPr>
      <xdr:spPr>
        <a:xfrm>
          <a:off x="8267700" y="34831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417" name="TextBox 416">
          <a:extLst>
            <a:ext uri="{FF2B5EF4-FFF2-40B4-BE49-F238E27FC236}">
              <a16:creationId xmlns:a16="http://schemas.microsoft.com/office/drawing/2014/main" id="{00000000-0008-0000-0000-000007000000}"/>
            </a:ext>
          </a:extLst>
        </xdr:cNvPr>
        <xdr:cNvSpPr txBox="1"/>
      </xdr:nvSpPr>
      <xdr:spPr>
        <a:xfrm>
          <a:off x="8267700" y="35013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418" name="TextBox 417">
          <a:extLst>
            <a:ext uri="{FF2B5EF4-FFF2-40B4-BE49-F238E27FC236}">
              <a16:creationId xmlns:a16="http://schemas.microsoft.com/office/drawing/2014/main" id="{00000000-0008-0000-0000-000007000000}"/>
            </a:ext>
          </a:extLst>
        </xdr:cNvPr>
        <xdr:cNvSpPr txBox="1"/>
      </xdr:nvSpPr>
      <xdr:spPr>
        <a:xfrm>
          <a:off x="8267700" y="35013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419" name="TextBox 418">
          <a:extLst>
            <a:ext uri="{FF2B5EF4-FFF2-40B4-BE49-F238E27FC236}">
              <a16:creationId xmlns:a16="http://schemas.microsoft.com/office/drawing/2014/main" id="{00000000-0008-0000-0000-000007000000}"/>
            </a:ext>
          </a:extLst>
        </xdr:cNvPr>
        <xdr:cNvSpPr txBox="1"/>
      </xdr:nvSpPr>
      <xdr:spPr>
        <a:xfrm>
          <a:off x="8267700" y="35196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420" name="TextBox 419">
          <a:extLst>
            <a:ext uri="{FF2B5EF4-FFF2-40B4-BE49-F238E27FC236}">
              <a16:creationId xmlns:a16="http://schemas.microsoft.com/office/drawing/2014/main" id="{00000000-0008-0000-0000-000007000000}"/>
            </a:ext>
          </a:extLst>
        </xdr:cNvPr>
        <xdr:cNvSpPr txBox="1"/>
      </xdr:nvSpPr>
      <xdr:spPr>
        <a:xfrm>
          <a:off x="8267700" y="35196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421" name="TextBox 420">
          <a:extLst>
            <a:ext uri="{FF2B5EF4-FFF2-40B4-BE49-F238E27FC236}">
              <a16:creationId xmlns:a16="http://schemas.microsoft.com/office/drawing/2014/main" id="{00000000-0008-0000-0000-000007000000}"/>
            </a:ext>
          </a:extLst>
        </xdr:cNvPr>
        <xdr:cNvSpPr txBox="1"/>
      </xdr:nvSpPr>
      <xdr:spPr>
        <a:xfrm>
          <a:off x="8267700" y="3629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422" name="TextBox 421">
          <a:extLst>
            <a:ext uri="{FF2B5EF4-FFF2-40B4-BE49-F238E27FC236}">
              <a16:creationId xmlns:a16="http://schemas.microsoft.com/office/drawing/2014/main" id="{00000000-0008-0000-0000-000007000000}"/>
            </a:ext>
          </a:extLst>
        </xdr:cNvPr>
        <xdr:cNvSpPr txBox="1"/>
      </xdr:nvSpPr>
      <xdr:spPr>
        <a:xfrm>
          <a:off x="8267700" y="3629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423" name="TextBox 422">
          <a:extLst>
            <a:ext uri="{FF2B5EF4-FFF2-40B4-BE49-F238E27FC236}">
              <a16:creationId xmlns:a16="http://schemas.microsoft.com/office/drawing/2014/main" id="{00000000-0008-0000-0000-000007000000}"/>
            </a:ext>
          </a:extLst>
        </xdr:cNvPr>
        <xdr:cNvSpPr txBox="1"/>
      </xdr:nvSpPr>
      <xdr:spPr>
        <a:xfrm>
          <a:off x="8267700" y="3647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424" name="TextBox 423">
          <a:extLst>
            <a:ext uri="{FF2B5EF4-FFF2-40B4-BE49-F238E27FC236}">
              <a16:creationId xmlns:a16="http://schemas.microsoft.com/office/drawing/2014/main" id="{00000000-0008-0000-0000-000007000000}"/>
            </a:ext>
          </a:extLst>
        </xdr:cNvPr>
        <xdr:cNvSpPr txBox="1"/>
      </xdr:nvSpPr>
      <xdr:spPr>
        <a:xfrm>
          <a:off x="8267700" y="3647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425" name="TextBox 424">
          <a:extLst>
            <a:ext uri="{FF2B5EF4-FFF2-40B4-BE49-F238E27FC236}">
              <a16:creationId xmlns:a16="http://schemas.microsoft.com/office/drawing/2014/main" id="{00000000-0008-0000-0000-000007000000}"/>
            </a:ext>
          </a:extLst>
        </xdr:cNvPr>
        <xdr:cNvSpPr txBox="1"/>
      </xdr:nvSpPr>
      <xdr:spPr>
        <a:xfrm>
          <a:off x="8267700" y="36659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426" name="TextBox 425">
          <a:extLst>
            <a:ext uri="{FF2B5EF4-FFF2-40B4-BE49-F238E27FC236}">
              <a16:creationId xmlns:a16="http://schemas.microsoft.com/office/drawing/2014/main" id="{00000000-0008-0000-0000-000007000000}"/>
            </a:ext>
          </a:extLst>
        </xdr:cNvPr>
        <xdr:cNvSpPr txBox="1"/>
      </xdr:nvSpPr>
      <xdr:spPr>
        <a:xfrm>
          <a:off x="8267700" y="36659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427" name="TextBox 426">
          <a:extLst>
            <a:ext uri="{FF2B5EF4-FFF2-40B4-BE49-F238E27FC236}">
              <a16:creationId xmlns:a16="http://schemas.microsoft.com/office/drawing/2014/main" id="{00000000-0008-0000-0000-000007000000}"/>
            </a:ext>
          </a:extLst>
        </xdr:cNvPr>
        <xdr:cNvSpPr txBox="1"/>
      </xdr:nvSpPr>
      <xdr:spPr>
        <a:xfrm>
          <a:off x="8267700" y="3684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428" name="TextBox 427">
          <a:extLst>
            <a:ext uri="{FF2B5EF4-FFF2-40B4-BE49-F238E27FC236}">
              <a16:creationId xmlns:a16="http://schemas.microsoft.com/office/drawing/2014/main" id="{00000000-0008-0000-0000-000007000000}"/>
            </a:ext>
          </a:extLst>
        </xdr:cNvPr>
        <xdr:cNvSpPr txBox="1"/>
      </xdr:nvSpPr>
      <xdr:spPr>
        <a:xfrm>
          <a:off x="8267700" y="3684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429" name="TextBox 428">
          <a:extLst>
            <a:ext uri="{FF2B5EF4-FFF2-40B4-BE49-F238E27FC236}">
              <a16:creationId xmlns:a16="http://schemas.microsoft.com/office/drawing/2014/main" id="{00000000-0008-0000-0000-000007000000}"/>
            </a:ext>
          </a:extLst>
        </xdr:cNvPr>
        <xdr:cNvSpPr txBox="1"/>
      </xdr:nvSpPr>
      <xdr:spPr>
        <a:xfrm>
          <a:off x="8267700" y="37025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430" name="TextBox 429">
          <a:extLst>
            <a:ext uri="{FF2B5EF4-FFF2-40B4-BE49-F238E27FC236}">
              <a16:creationId xmlns:a16="http://schemas.microsoft.com/office/drawing/2014/main" id="{00000000-0008-0000-0000-000007000000}"/>
            </a:ext>
          </a:extLst>
        </xdr:cNvPr>
        <xdr:cNvSpPr txBox="1"/>
      </xdr:nvSpPr>
      <xdr:spPr>
        <a:xfrm>
          <a:off x="8267700" y="37025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431" name="TextBox 430">
          <a:extLst>
            <a:ext uri="{FF2B5EF4-FFF2-40B4-BE49-F238E27FC236}">
              <a16:creationId xmlns:a16="http://schemas.microsoft.com/office/drawing/2014/main" id="{00000000-0008-0000-0000-000007000000}"/>
            </a:ext>
          </a:extLst>
        </xdr:cNvPr>
        <xdr:cNvSpPr txBox="1"/>
      </xdr:nvSpPr>
      <xdr:spPr>
        <a:xfrm>
          <a:off x="8267700" y="3812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432" name="TextBox 431">
          <a:extLst>
            <a:ext uri="{FF2B5EF4-FFF2-40B4-BE49-F238E27FC236}">
              <a16:creationId xmlns:a16="http://schemas.microsoft.com/office/drawing/2014/main" id="{00000000-0008-0000-0000-000007000000}"/>
            </a:ext>
          </a:extLst>
        </xdr:cNvPr>
        <xdr:cNvSpPr txBox="1"/>
      </xdr:nvSpPr>
      <xdr:spPr>
        <a:xfrm>
          <a:off x="8267700" y="3812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433" name="TextBox 432">
          <a:extLst>
            <a:ext uri="{FF2B5EF4-FFF2-40B4-BE49-F238E27FC236}">
              <a16:creationId xmlns:a16="http://schemas.microsoft.com/office/drawing/2014/main" id="{00000000-0008-0000-0000-000007000000}"/>
            </a:ext>
          </a:extLst>
        </xdr:cNvPr>
        <xdr:cNvSpPr txBox="1"/>
      </xdr:nvSpPr>
      <xdr:spPr>
        <a:xfrm>
          <a:off x="8267700" y="3830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434" name="TextBox 433">
          <a:extLst>
            <a:ext uri="{FF2B5EF4-FFF2-40B4-BE49-F238E27FC236}">
              <a16:creationId xmlns:a16="http://schemas.microsoft.com/office/drawing/2014/main" id="{00000000-0008-0000-0000-000007000000}"/>
            </a:ext>
          </a:extLst>
        </xdr:cNvPr>
        <xdr:cNvSpPr txBox="1"/>
      </xdr:nvSpPr>
      <xdr:spPr>
        <a:xfrm>
          <a:off x="8267700" y="3830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435" name="TextBox 434">
          <a:extLst>
            <a:ext uri="{FF2B5EF4-FFF2-40B4-BE49-F238E27FC236}">
              <a16:creationId xmlns:a16="http://schemas.microsoft.com/office/drawing/2014/main" id="{00000000-0008-0000-0000-000007000000}"/>
            </a:ext>
          </a:extLst>
        </xdr:cNvPr>
        <xdr:cNvSpPr txBox="1"/>
      </xdr:nvSpPr>
      <xdr:spPr>
        <a:xfrm>
          <a:off x="8267700" y="38488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436" name="TextBox 435">
          <a:extLst>
            <a:ext uri="{FF2B5EF4-FFF2-40B4-BE49-F238E27FC236}">
              <a16:creationId xmlns:a16="http://schemas.microsoft.com/office/drawing/2014/main" id="{00000000-0008-0000-0000-000007000000}"/>
            </a:ext>
          </a:extLst>
        </xdr:cNvPr>
        <xdr:cNvSpPr txBox="1"/>
      </xdr:nvSpPr>
      <xdr:spPr>
        <a:xfrm>
          <a:off x="8267700" y="38488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437" name="TextBox 436">
          <a:extLst>
            <a:ext uri="{FF2B5EF4-FFF2-40B4-BE49-F238E27FC236}">
              <a16:creationId xmlns:a16="http://schemas.microsoft.com/office/drawing/2014/main" id="{00000000-0008-0000-0000-000007000000}"/>
            </a:ext>
          </a:extLst>
        </xdr:cNvPr>
        <xdr:cNvSpPr txBox="1"/>
      </xdr:nvSpPr>
      <xdr:spPr>
        <a:xfrm>
          <a:off x="8267700" y="3867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438" name="TextBox 437">
          <a:extLst>
            <a:ext uri="{FF2B5EF4-FFF2-40B4-BE49-F238E27FC236}">
              <a16:creationId xmlns:a16="http://schemas.microsoft.com/office/drawing/2014/main" id="{00000000-0008-0000-0000-000007000000}"/>
            </a:ext>
          </a:extLst>
        </xdr:cNvPr>
        <xdr:cNvSpPr txBox="1"/>
      </xdr:nvSpPr>
      <xdr:spPr>
        <a:xfrm>
          <a:off x="8267700" y="3867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439" name="TextBox 438">
          <a:extLst>
            <a:ext uri="{FF2B5EF4-FFF2-40B4-BE49-F238E27FC236}">
              <a16:creationId xmlns:a16="http://schemas.microsoft.com/office/drawing/2014/main" id="{00000000-0008-0000-0000-000007000000}"/>
            </a:ext>
          </a:extLst>
        </xdr:cNvPr>
        <xdr:cNvSpPr txBox="1"/>
      </xdr:nvSpPr>
      <xdr:spPr>
        <a:xfrm>
          <a:off x="8267700" y="3885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440" name="TextBox 439">
          <a:extLst>
            <a:ext uri="{FF2B5EF4-FFF2-40B4-BE49-F238E27FC236}">
              <a16:creationId xmlns:a16="http://schemas.microsoft.com/office/drawing/2014/main" id="{00000000-0008-0000-0000-000007000000}"/>
            </a:ext>
          </a:extLst>
        </xdr:cNvPr>
        <xdr:cNvSpPr txBox="1"/>
      </xdr:nvSpPr>
      <xdr:spPr>
        <a:xfrm>
          <a:off x="8267700" y="3885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441" name="TextBox 440">
          <a:extLst>
            <a:ext uri="{FF2B5EF4-FFF2-40B4-BE49-F238E27FC236}">
              <a16:creationId xmlns:a16="http://schemas.microsoft.com/office/drawing/2014/main" id="{00000000-0008-0000-0000-000007000000}"/>
            </a:ext>
          </a:extLst>
        </xdr:cNvPr>
        <xdr:cNvSpPr txBox="1"/>
      </xdr:nvSpPr>
      <xdr:spPr>
        <a:xfrm>
          <a:off x="8267700" y="39951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442" name="TextBox 441">
          <a:extLst>
            <a:ext uri="{FF2B5EF4-FFF2-40B4-BE49-F238E27FC236}">
              <a16:creationId xmlns:a16="http://schemas.microsoft.com/office/drawing/2014/main" id="{00000000-0008-0000-0000-000007000000}"/>
            </a:ext>
          </a:extLst>
        </xdr:cNvPr>
        <xdr:cNvSpPr txBox="1"/>
      </xdr:nvSpPr>
      <xdr:spPr>
        <a:xfrm>
          <a:off x="8267700" y="39951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443" name="TextBox 442">
          <a:extLst>
            <a:ext uri="{FF2B5EF4-FFF2-40B4-BE49-F238E27FC236}">
              <a16:creationId xmlns:a16="http://schemas.microsoft.com/office/drawing/2014/main" id="{00000000-0008-0000-0000-000007000000}"/>
            </a:ext>
          </a:extLst>
        </xdr:cNvPr>
        <xdr:cNvSpPr txBox="1"/>
      </xdr:nvSpPr>
      <xdr:spPr>
        <a:xfrm>
          <a:off x="8267700" y="40134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444" name="TextBox 443">
          <a:extLst>
            <a:ext uri="{FF2B5EF4-FFF2-40B4-BE49-F238E27FC236}">
              <a16:creationId xmlns:a16="http://schemas.microsoft.com/office/drawing/2014/main" id="{00000000-0008-0000-0000-000007000000}"/>
            </a:ext>
          </a:extLst>
        </xdr:cNvPr>
        <xdr:cNvSpPr txBox="1"/>
      </xdr:nvSpPr>
      <xdr:spPr>
        <a:xfrm>
          <a:off x="8267700" y="40134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445" name="TextBox 444">
          <a:extLst>
            <a:ext uri="{FF2B5EF4-FFF2-40B4-BE49-F238E27FC236}">
              <a16:creationId xmlns:a16="http://schemas.microsoft.com/office/drawing/2014/main" id="{00000000-0008-0000-0000-000007000000}"/>
            </a:ext>
          </a:extLst>
        </xdr:cNvPr>
        <xdr:cNvSpPr txBox="1"/>
      </xdr:nvSpPr>
      <xdr:spPr>
        <a:xfrm>
          <a:off x="8267700" y="40317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446" name="TextBox 445">
          <a:extLst>
            <a:ext uri="{FF2B5EF4-FFF2-40B4-BE49-F238E27FC236}">
              <a16:creationId xmlns:a16="http://schemas.microsoft.com/office/drawing/2014/main" id="{00000000-0008-0000-0000-000007000000}"/>
            </a:ext>
          </a:extLst>
        </xdr:cNvPr>
        <xdr:cNvSpPr txBox="1"/>
      </xdr:nvSpPr>
      <xdr:spPr>
        <a:xfrm>
          <a:off x="8267700" y="40317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447" name="TextBox 446">
          <a:extLst>
            <a:ext uri="{FF2B5EF4-FFF2-40B4-BE49-F238E27FC236}">
              <a16:creationId xmlns:a16="http://schemas.microsoft.com/office/drawing/2014/main" id="{00000000-0008-0000-0000-000007000000}"/>
            </a:ext>
          </a:extLst>
        </xdr:cNvPr>
        <xdr:cNvSpPr txBox="1"/>
      </xdr:nvSpPr>
      <xdr:spPr>
        <a:xfrm>
          <a:off x="8267700" y="40500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448" name="TextBox 447">
          <a:extLst>
            <a:ext uri="{FF2B5EF4-FFF2-40B4-BE49-F238E27FC236}">
              <a16:creationId xmlns:a16="http://schemas.microsoft.com/office/drawing/2014/main" id="{00000000-0008-0000-0000-000007000000}"/>
            </a:ext>
          </a:extLst>
        </xdr:cNvPr>
        <xdr:cNvSpPr txBox="1"/>
      </xdr:nvSpPr>
      <xdr:spPr>
        <a:xfrm>
          <a:off x="8267700" y="40500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449" name="TextBox 448">
          <a:extLst>
            <a:ext uri="{FF2B5EF4-FFF2-40B4-BE49-F238E27FC236}">
              <a16:creationId xmlns:a16="http://schemas.microsoft.com/office/drawing/2014/main" id="{00000000-0008-0000-0000-000007000000}"/>
            </a:ext>
          </a:extLst>
        </xdr:cNvPr>
        <xdr:cNvSpPr txBox="1"/>
      </xdr:nvSpPr>
      <xdr:spPr>
        <a:xfrm>
          <a:off x="8267700" y="40683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450" name="TextBox 449">
          <a:extLst>
            <a:ext uri="{FF2B5EF4-FFF2-40B4-BE49-F238E27FC236}">
              <a16:creationId xmlns:a16="http://schemas.microsoft.com/office/drawing/2014/main" id="{00000000-0008-0000-0000-000007000000}"/>
            </a:ext>
          </a:extLst>
        </xdr:cNvPr>
        <xdr:cNvSpPr txBox="1"/>
      </xdr:nvSpPr>
      <xdr:spPr>
        <a:xfrm>
          <a:off x="8267700" y="40683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451" name="TextBox 450">
          <a:extLst>
            <a:ext uri="{FF2B5EF4-FFF2-40B4-BE49-F238E27FC236}">
              <a16:creationId xmlns:a16="http://schemas.microsoft.com/office/drawing/2014/main" id="{00000000-0008-0000-0000-000007000000}"/>
            </a:ext>
          </a:extLst>
        </xdr:cNvPr>
        <xdr:cNvSpPr txBox="1"/>
      </xdr:nvSpPr>
      <xdr:spPr>
        <a:xfrm>
          <a:off x="8267700" y="41780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452" name="TextBox 451">
          <a:extLst>
            <a:ext uri="{FF2B5EF4-FFF2-40B4-BE49-F238E27FC236}">
              <a16:creationId xmlns:a16="http://schemas.microsoft.com/office/drawing/2014/main" id="{00000000-0008-0000-0000-000007000000}"/>
            </a:ext>
          </a:extLst>
        </xdr:cNvPr>
        <xdr:cNvSpPr txBox="1"/>
      </xdr:nvSpPr>
      <xdr:spPr>
        <a:xfrm>
          <a:off x="8267700" y="41780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453" name="TextBox 452">
          <a:extLst>
            <a:ext uri="{FF2B5EF4-FFF2-40B4-BE49-F238E27FC236}">
              <a16:creationId xmlns:a16="http://schemas.microsoft.com/office/drawing/2014/main" id="{00000000-0008-0000-0000-000007000000}"/>
            </a:ext>
          </a:extLst>
        </xdr:cNvPr>
        <xdr:cNvSpPr txBox="1"/>
      </xdr:nvSpPr>
      <xdr:spPr>
        <a:xfrm>
          <a:off x="8267700" y="4196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454" name="TextBox 453">
          <a:extLst>
            <a:ext uri="{FF2B5EF4-FFF2-40B4-BE49-F238E27FC236}">
              <a16:creationId xmlns:a16="http://schemas.microsoft.com/office/drawing/2014/main" id="{00000000-0008-0000-0000-000007000000}"/>
            </a:ext>
          </a:extLst>
        </xdr:cNvPr>
        <xdr:cNvSpPr txBox="1"/>
      </xdr:nvSpPr>
      <xdr:spPr>
        <a:xfrm>
          <a:off x="8267700" y="4196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455" name="TextBox 454">
          <a:extLst>
            <a:ext uri="{FF2B5EF4-FFF2-40B4-BE49-F238E27FC236}">
              <a16:creationId xmlns:a16="http://schemas.microsoft.com/office/drawing/2014/main" id="{00000000-0008-0000-0000-000007000000}"/>
            </a:ext>
          </a:extLst>
        </xdr:cNvPr>
        <xdr:cNvSpPr txBox="1"/>
      </xdr:nvSpPr>
      <xdr:spPr>
        <a:xfrm>
          <a:off x="8267700" y="42146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456" name="TextBox 455">
          <a:extLst>
            <a:ext uri="{FF2B5EF4-FFF2-40B4-BE49-F238E27FC236}">
              <a16:creationId xmlns:a16="http://schemas.microsoft.com/office/drawing/2014/main" id="{00000000-0008-0000-0000-000007000000}"/>
            </a:ext>
          </a:extLst>
        </xdr:cNvPr>
        <xdr:cNvSpPr txBox="1"/>
      </xdr:nvSpPr>
      <xdr:spPr>
        <a:xfrm>
          <a:off x="8267700" y="42146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457" name="TextBox 456">
          <a:extLst>
            <a:ext uri="{FF2B5EF4-FFF2-40B4-BE49-F238E27FC236}">
              <a16:creationId xmlns:a16="http://schemas.microsoft.com/office/drawing/2014/main" id="{00000000-0008-0000-0000-000007000000}"/>
            </a:ext>
          </a:extLst>
        </xdr:cNvPr>
        <xdr:cNvSpPr txBox="1"/>
      </xdr:nvSpPr>
      <xdr:spPr>
        <a:xfrm>
          <a:off x="8267700" y="42329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458" name="TextBox 457">
          <a:extLst>
            <a:ext uri="{FF2B5EF4-FFF2-40B4-BE49-F238E27FC236}">
              <a16:creationId xmlns:a16="http://schemas.microsoft.com/office/drawing/2014/main" id="{00000000-0008-0000-0000-000007000000}"/>
            </a:ext>
          </a:extLst>
        </xdr:cNvPr>
        <xdr:cNvSpPr txBox="1"/>
      </xdr:nvSpPr>
      <xdr:spPr>
        <a:xfrm>
          <a:off x="8267700" y="42329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459" name="TextBox 458">
          <a:extLst>
            <a:ext uri="{FF2B5EF4-FFF2-40B4-BE49-F238E27FC236}">
              <a16:creationId xmlns:a16="http://schemas.microsoft.com/office/drawing/2014/main" id="{00000000-0008-0000-0000-000007000000}"/>
            </a:ext>
          </a:extLst>
        </xdr:cNvPr>
        <xdr:cNvSpPr txBox="1"/>
      </xdr:nvSpPr>
      <xdr:spPr>
        <a:xfrm>
          <a:off x="8267700" y="42511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460" name="TextBox 459">
          <a:extLst>
            <a:ext uri="{FF2B5EF4-FFF2-40B4-BE49-F238E27FC236}">
              <a16:creationId xmlns:a16="http://schemas.microsoft.com/office/drawing/2014/main" id="{00000000-0008-0000-0000-000007000000}"/>
            </a:ext>
          </a:extLst>
        </xdr:cNvPr>
        <xdr:cNvSpPr txBox="1"/>
      </xdr:nvSpPr>
      <xdr:spPr>
        <a:xfrm>
          <a:off x="8267700" y="42511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461" name="TextBox 460">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462" name="TextBox 461">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463" name="TextBox 462">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464" name="TextBox 463">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465" name="TextBox 464">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466" name="TextBox 465">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467" name="TextBox 466">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468" name="TextBox 467">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472" name="TextBox 471">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476" name="TextBox 475">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477" name="TextBox 476">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478" name="TextBox 477">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479" name="TextBox 478">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480" name="TextBox 479">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481" name="TextBox 480">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482" name="TextBox 481">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483" name="TextBox 482">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484" name="TextBox 483">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485" name="TextBox 484">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486" name="TextBox 485">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487" name="TextBox 486">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488" name="TextBox 487">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489" name="TextBox 488">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490" name="TextBox 489">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491" name="TextBox 490">
          <a:extLst>
            <a:ext uri="{FF2B5EF4-FFF2-40B4-BE49-F238E27FC236}">
              <a16:creationId xmlns:a16="http://schemas.microsoft.com/office/drawing/2014/main" id="{00000000-0008-0000-0000-000007000000}"/>
            </a:ext>
          </a:extLst>
        </xdr:cNvPr>
        <xdr:cNvSpPr txBox="1"/>
      </xdr:nvSpPr>
      <xdr:spPr>
        <a:xfrm>
          <a:off x="8267700" y="3498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492" name="TextBox 491">
          <a:extLst>
            <a:ext uri="{FF2B5EF4-FFF2-40B4-BE49-F238E27FC236}">
              <a16:creationId xmlns:a16="http://schemas.microsoft.com/office/drawing/2014/main" id="{00000000-0008-0000-0000-000007000000}"/>
            </a:ext>
          </a:extLst>
        </xdr:cNvPr>
        <xdr:cNvSpPr txBox="1"/>
      </xdr:nvSpPr>
      <xdr:spPr>
        <a:xfrm>
          <a:off x="8267700" y="3498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493" name="TextBox 492">
          <a:extLst>
            <a:ext uri="{FF2B5EF4-FFF2-40B4-BE49-F238E27FC236}">
              <a16:creationId xmlns:a16="http://schemas.microsoft.com/office/drawing/2014/main" id="{00000000-0008-0000-0000-000007000000}"/>
            </a:ext>
          </a:extLst>
        </xdr:cNvPr>
        <xdr:cNvSpPr txBox="1"/>
      </xdr:nvSpPr>
      <xdr:spPr>
        <a:xfrm>
          <a:off x="8267700" y="3516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494" name="TextBox 493">
          <a:extLst>
            <a:ext uri="{FF2B5EF4-FFF2-40B4-BE49-F238E27FC236}">
              <a16:creationId xmlns:a16="http://schemas.microsoft.com/office/drawing/2014/main" id="{00000000-0008-0000-0000-000007000000}"/>
            </a:ext>
          </a:extLst>
        </xdr:cNvPr>
        <xdr:cNvSpPr txBox="1"/>
      </xdr:nvSpPr>
      <xdr:spPr>
        <a:xfrm>
          <a:off x="8267700" y="3516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495" name="TextBox 494">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496" name="TextBox 495">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497" name="TextBox 496">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498" name="TextBox 497">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499" name="TextBox 498">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500" name="TextBox 499">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501" name="TextBox 500">
          <a:extLst>
            <a:ext uri="{FF2B5EF4-FFF2-40B4-BE49-F238E27FC236}">
              <a16:creationId xmlns:a16="http://schemas.microsoft.com/office/drawing/2014/main" id="{00000000-0008-0000-0000-000007000000}"/>
            </a:ext>
          </a:extLst>
        </xdr:cNvPr>
        <xdr:cNvSpPr txBox="1"/>
      </xdr:nvSpPr>
      <xdr:spPr>
        <a:xfrm>
          <a:off x="8267700" y="36812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502" name="TextBox 501">
          <a:extLst>
            <a:ext uri="{FF2B5EF4-FFF2-40B4-BE49-F238E27FC236}">
              <a16:creationId xmlns:a16="http://schemas.microsoft.com/office/drawing/2014/main" id="{00000000-0008-0000-0000-000007000000}"/>
            </a:ext>
          </a:extLst>
        </xdr:cNvPr>
        <xdr:cNvSpPr txBox="1"/>
      </xdr:nvSpPr>
      <xdr:spPr>
        <a:xfrm>
          <a:off x="8267700" y="36812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503" name="TextBox 502">
          <a:extLst>
            <a:ext uri="{FF2B5EF4-FFF2-40B4-BE49-F238E27FC236}">
              <a16:creationId xmlns:a16="http://schemas.microsoft.com/office/drawing/2014/main" id="{00000000-0008-0000-0000-000007000000}"/>
            </a:ext>
          </a:extLst>
        </xdr:cNvPr>
        <xdr:cNvSpPr txBox="1"/>
      </xdr:nvSpPr>
      <xdr:spPr>
        <a:xfrm>
          <a:off x="8267700" y="36995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504" name="TextBox 503">
          <a:extLst>
            <a:ext uri="{FF2B5EF4-FFF2-40B4-BE49-F238E27FC236}">
              <a16:creationId xmlns:a16="http://schemas.microsoft.com/office/drawing/2014/main" id="{00000000-0008-0000-0000-000007000000}"/>
            </a:ext>
          </a:extLst>
        </xdr:cNvPr>
        <xdr:cNvSpPr txBox="1"/>
      </xdr:nvSpPr>
      <xdr:spPr>
        <a:xfrm>
          <a:off x="8267700" y="36995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505" name="TextBox 504">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506" name="TextBox 505">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507" name="TextBox 506">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508" name="TextBox 507">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509" name="TextBox 508">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510" name="TextBox 509">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511" name="TextBox 510">
          <a:extLst>
            <a:ext uri="{FF2B5EF4-FFF2-40B4-BE49-F238E27FC236}">
              <a16:creationId xmlns:a16="http://schemas.microsoft.com/office/drawing/2014/main" id="{00000000-0008-0000-0000-000007000000}"/>
            </a:ext>
          </a:extLst>
        </xdr:cNvPr>
        <xdr:cNvSpPr txBox="1"/>
      </xdr:nvSpPr>
      <xdr:spPr>
        <a:xfrm>
          <a:off x="8267700" y="38641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512" name="TextBox 511">
          <a:extLst>
            <a:ext uri="{FF2B5EF4-FFF2-40B4-BE49-F238E27FC236}">
              <a16:creationId xmlns:a16="http://schemas.microsoft.com/office/drawing/2014/main" id="{00000000-0008-0000-0000-000007000000}"/>
            </a:ext>
          </a:extLst>
        </xdr:cNvPr>
        <xdr:cNvSpPr txBox="1"/>
      </xdr:nvSpPr>
      <xdr:spPr>
        <a:xfrm>
          <a:off x="8267700" y="38641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513" name="TextBox 512">
          <a:extLst>
            <a:ext uri="{FF2B5EF4-FFF2-40B4-BE49-F238E27FC236}">
              <a16:creationId xmlns:a16="http://schemas.microsoft.com/office/drawing/2014/main" id="{00000000-0008-0000-0000-000007000000}"/>
            </a:ext>
          </a:extLst>
        </xdr:cNvPr>
        <xdr:cNvSpPr txBox="1"/>
      </xdr:nvSpPr>
      <xdr:spPr>
        <a:xfrm>
          <a:off x="8267700" y="38823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514" name="TextBox 513">
          <a:extLst>
            <a:ext uri="{FF2B5EF4-FFF2-40B4-BE49-F238E27FC236}">
              <a16:creationId xmlns:a16="http://schemas.microsoft.com/office/drawing/2014/main" id="{00000000-0008-0000-0000-000007000000}"/>
            </a:ext>
          </a:extLst>
        </xdr:cNvPr>
        <xdr:cNvSpPr txBox="1"/>
      </xdr:nvSpPr>
      <xdr:spPr>
        <a:xfrm>
          <a:off x="8267700" y="38823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515" name="TextBox 514">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516" name="TextBox 515">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517" name="TextBox 516">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518" name="TextBox 517">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519" name="TextBox 518">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520" name="TextBox 519">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521" name="TextBox 520">
          <a:extLst>
            <a:ext uri="{FF2B5EF4-FFF2-40B4-BE49-F238E27FC236}">
              <a16:creationId xmlns:a16="http://schemas.microsoft.com/office/drawing/2014/main" id="{00000000-0008-0000-0000-000007000000}"/>
            </a:ext>
          </a:extLst>
        </xdr:cNvPr>
        <xdr:cNvSpPr txBox="1"/>
      </xdr:nvSpPr>
      <xdr:spPr>
        <a:xfrm>
          <a:off x="8267700" y="40469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522" name="TextBox 521">
          <a:extLst>
            <a:ext uri="{FF2B5EF4-FFF2-40B4-BE49-F238E27FC236}">
              <a16:creationId xmlns:a16="http://schemas.microsoft.com/office/drawing/2014/main" id="{00000000-0008-0000-0000-000007000000}"/>
            </a:ext>
          </a:extLst>
        </xdr:cNvPr>
        <xdr:cNvSpPr txBox="1"/>
      </xdr:nvSpPr>
      <xdr:spPr>
        <a:xfrm>
          <a:off x="8267700" y="40469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523" name="TextBox 522">
          <a:extLst>
            <a:ext uri="{FF2B5EF4-FFF2-40B4-BE49-F238E27FC236}">
              <a16:creationId xmlns:a16="http://schemas.microsoft.com/office/drawing/2014/main" id="{00000000-0008-0000-0000-000007000000}"/>
            </a:ext>
          </a:extLst>
        </xdr:cNvPr>
        <xdr:cNvSpPr txBox="1"/>
      </xdr:nvSpPr>
      <xdr:spPr>
        <a:xfrm>
          <a:off x="8267700" y="4065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524" name="TextBox 523">
          <a:extLst>
            <a:ext uri="{FF2B5EF4-FFF2-40B4-BE49-F238E27FC236}">
              <a16:creationId xmlns:a16="http://schemas.microsoft.com/office/drawing/2014/main" id="{00000000-0008-0000-0000-000007000000}"/>
            </a:ext>
          </a:extLst>
        </xdr:cNvPr>
        <xdr:cNvSpPr txBox="1"/>
      </xdr:nvSpPr>
      <xdr:spPr>
        <a:xfrm>
          <a:off x="8267700" y="4065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525" name="TextBox 524">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526" name="TextBox 525">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527" name="TextBox 526">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528" name="TextBox 527">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529" name="TextBox 528">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530" name="TextBox 529">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531" name="TextBox 530">
          <a:extLst>
            <a:ext uri="{FF2B5EF4-FFF2-40B4-BE49-F238E27FC236}">
              <a16:creationId xmlns:a16="http://schemas.microsoft.com/office/drawing/2014/main" id="{00000000-0008-0000-0000-000007000000}"/>
            </a:ext>
          </a:extLst>
        </xdr:cNvPr>
        <xdr:cNvSpPr txBox="1"/>
      </xdr:nvSpPr>
      <xdr:spPr>
        <a:xfrm>
          <a:off x="8267700" y="42298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532" name="TextBox 531">
          <a:extLst>
            <a:ext uri="{FF2B5EF4-FFF2-40B4-BE49-F238E27FC236}">
              <a16:creationId xmlns:a16="http://schemas.microsoft.com/office/drawing/2014/main" id="{00000000-0008-0000-0000-000007000000}"/>
            </a:ext>
          </a:extLst>
        </xdr:cNvPr>
        <xdr:cNvSpPr txBox="1"/>
      </xdr:nvSpPr>
      <xdr:spPr>
        <a:xfrm>
          <a:off x="8267700" y="42298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533" name="TextBox 532">
          <a:extLst>
            <a:ext uri="{FF2B5EF4-FFF2-40B4-BE49-F238E27FC236}">
              <a16:creationId xmlns:a16="http://schemas.microsoft.com/office/drawing/2014/main" id="{00000000-0008-0000-0000-000007000000}"/>
            </a:ext>
          </a:extLst>
        </xdr:cNvPr>
        <xdr:cNvSpPr txBox="1"/>
      </xdr:nvSpPr>
      <xdr:spPr>
        <a:xfrm>
          <a:off x="8267700" y="4248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534" name="TextBox 533">
          <a:extLst>
            <a:ext uri="{FF2B5EF4-FFF2-40B4-BE49-F238E27FC236}">
              <a16:creationId xmlns:a16="http://schemas.microsoft.com/office/drawing/2014/main" id="{00000000-0008-0000-0000-000007000000}"/>
            </a:ext>
          </a:extLst>
        </xdr:cNvPr>
        <xdr:cNvSpPr txBox="1"/>
      </xdr:nvSpPr>
      <xdr:spPr>
        <a:xfrm>
          <a:off x="8267700" y="4248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535" name="TextBox 534">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536" name="TextBox 535">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537" name="TextBox 536">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538" name="TextBox 537">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539" name="TextBox 538">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540" name="TextBox 539">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541" name="TextBox 540">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542" name="TextBox 541">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546" name="TextBox 545">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550" name="TextBox 549">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551" name="TextBox 550">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552" name="TextBox 551">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553" name="TextBox 552">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554" name="TextBox 553">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555" name="TextBox 554">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556" name="TextBox 555">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557" name="TextBox 556">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558" name="TextBox 557">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559" name="TextBox 558">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560" name="TextBox 559">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561" name="TextBox 560">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562" name="TextBox 561">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563" name="TextBox 562">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564" name="TextBox 563">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565" name="TextBox 564">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566" name="TextBox 565">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567" name="TextBox 566">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568" name="TextBox 567">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569" name="TextBox 568">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570" name="TextBox 569">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571" name="TextBox 570">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572" name="TextBox 571">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573" name="TextBox 572">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574" name="TextBox 573">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575" name="TextBox 574">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576" name="TextBox 575">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577" name="TextBox 576">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578" name="TextBox 577">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579" name="TextBox 578">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580" name="TextBox 579">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581" name="TextBox 580">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582" name="TextBox 581">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583" name="TextBox 582">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584" name="TextBox 583">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585" name="TextBox 584">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586" name="TextBox 585">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587" name="TextBox 586">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588" name="TextBox 587">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589" name="TextBox 588">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590" name="TextBox 589">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591" name="TextBox 590">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592" name="TextBox 591">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593" name="TextBox 592">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594" name="TextBox 593">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595" name="TextBox 594">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596" name="TextBox 595">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597" name="TextBox 596">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598" name="TextBox 597">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599" name="TextBox 598">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600" name="TextBox 599">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601" name="TextBox 600">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602" name="TextBox 601">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603" name="TextBox 602">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604" name="TextBox 603">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605" name="TextBox 604">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606" name="TextBox 605">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607" name="TextBox 606">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608" name="TextBox 607">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609" name="TextBox 608">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610" name="TextBox 609">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611" name="TextBox 610">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612" name="TextBox 611">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613" name="TextBox 612">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614" name="TextBox 613">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615" name="TextBox 614">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616" name="TextBox 615">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620" name="TextBox 619">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624" name="TextBox 623">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625" name="TextBox 624">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626" name="TextBox 625">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627" name="TextBox 626">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628" name="TextBox 627">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629" name="TextBox 628">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630" name="TextBox 629">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631" name="TextBox 630">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632" name="TextBox 631">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633" name="TextBox 632">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634" name="TextBox 633">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635" name="TextBox 634">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636" name="TextBox 635">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637" name="TextBox 636">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638" name="TextBox 637">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639" name="TextBox 638">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640" name="TextBox 639">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641" name="TextBox 640">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642" name="TextBox 641">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643" name="TextBox 642">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644" name="TextBox 643">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645" name="TextBox 644">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646" name="TextBox 645">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647" name="TextBox 646">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648" name="TextBox 647">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649" name="TextBox 648">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650" name="TextBox 649">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651" name="TextBox 650">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652" name="TextBox 651">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653" name="TextBox 652">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654" name="TextBox 653">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655" name="TextBox 654">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656" name="TextBox 655">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657" name="TextBox 656">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658" name="TextBox 657">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659" name="TextBox 658">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660" name="TextBox 659">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661" name="TextBox 660">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662" name="TextBox 661">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663" name="TextBox 662">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664" name="TextBox 663">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665" name="TextBox 664">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666" name="TextBox 665">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667" name="TextBox 666">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668" name="TextBox 667">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669" name="TextBox 668">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670" name="TextBox 669">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671" name="TextBox 670">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672" name="TextBox 671">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673" name="TextBox 672">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674" name="TextBox 673">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675" name="TextBox 674">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676" name="TextBox 675">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677" name="TextBox 676">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678" name="TextBox 677">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679" name="TextBox 678">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680" name="TextBox 679">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681" name="TextBox 680">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682" name="TextBox 681">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683" name="TextBox 682">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684" name="TextBox 683">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685" name="TextBox 684">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686" name="TextBox 685">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687" name="TextBox 686">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688" name="TextBox 687">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689" name="TextBox 688">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690" name="TextBox 689">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691" name="TextBox 690">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692" name="TextBox 691">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693" name="TextBox 692">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694" name="TextBox 693">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695" name="TextBox 694">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696" name="TextBox 695">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697" name="TextBox 696">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698" name="TextBox 697">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699" name="TextBox 698">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00" name="TextBox 699">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01" name="TextBox 700">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02" name="TextBox 701">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03" name="TextBox 702">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04" name="TextBox 703">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708" name="TextBox 707">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712" name="TextBox 711">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713" name="TextBox 712">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714" name="TextBox 713">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715" name="TextBox 714">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716" name="TextBox 715">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17" name="TextBox 716">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18" name="TextBox 717">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719" name="TextBox 718">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720" name="TextBox 719">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721" name="TextBox 720">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722" name="TextBox 721">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723" name="TextBox 722">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724" name="TextBox 723">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725" name="TextBox 724">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726" name="TextBox 725">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727" name="TextBox 726">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728" name="TextBox 727">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729" name="TextBox 728">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730" name="TextBox 729">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731" name="TextBox 730">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732" name="TextBox 731">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733" name="TextBox 732">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734" name="TextBox 733">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735" name="TextBox 734">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736" name="TextBox 735">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737" name="TextBox 736">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738" name="TextBox 737">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739" name="TextBox 738">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740" name="TextBox 739">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741" name="TextBox 740">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742" name="TextBox 741">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743" name="TextBox 742">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744" name="TextBox 743">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745" name="TextBox 744">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746" name="TextBox 745">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747" name="TextBox 746">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748" name="TextBox 747">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749" name="TextBox 748">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750" name="TextBox 749">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751" name="TextBox 750">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752" name="TextBox 751">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753" name="TextBox 752">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754" name="TextBox 753">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755" name="TextBox 754">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756" name="TextBox 755">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757" name="TextBox 756">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758" name="TextBox 757">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759" name="TextBox 758">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760" name="TextBox 759">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761" name="TextBox 760">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762" name="TextBox 761">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763" name="TextBox 762">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764" name="TextBox 763">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765" name="TextBox 764">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766" name="TextBox 765">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767" name="TextBox 766">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768" name="TextBox 767">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769" name="TextBox 768">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770" name="TextBox 769">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771" name="TextBox 770">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772" name="TextBox 771">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73" name="TextBox 772">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74" name="TextBox 773">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775" name="TextBox 774">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776" name="TextBox 775">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777" name="TextBox 776">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778" name="TextBox 777">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779" name="TextBox 778">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780" name="TextBox 779">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781" name="TextBox 780">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782" name="TextBox 781">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783" name="TextBox 782">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784" name="TextBox 783">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85" name="TextBox 784">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86" name="TextBox 785">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87" name="TextBox 786">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88" name="TextBox 787">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89" name="TextBox 788">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90" name="TextBox 789">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91" name="TextBox 790">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792" name="TextBox 791">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793" name="TextBox 792">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794" name="TextBox 793">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796" name="TextBox 795">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800" name="TextBox 799">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801" name="TextBox 800">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802" name="TextBox 801">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803" name="TextBox 802">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804" name="TextBox 803">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05" name="TextBox 804">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06" name="TextBox 805">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807" name="TextBox 806">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808" name="TextBox 807">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809" name="TextBox 808">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810" name="TextBox 809">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811" name="TextBox 810">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812" name="TextBox 811">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813" name="TextBox 812">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814" name="TextBox 813">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815" name="TextBox 814">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816" name="TextBox 815">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817" name="TextBox 816">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818" name="TextBox 817">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819" name="TextBox 818">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820" name="TextBox 819">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821" name="TextBox 820">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822" name="TextBox 821">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823" name="TextBox 822">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824" name="TextBox 823">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825" name="TextBox 824">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826" name="TextBox 825">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827" name="TextBox 826">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828" name="TextBox 827">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829" name="TextBox 828">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830" name="TextBox 829">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831" name="TextBox 830">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832" name="TextBox 831">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833" name="TextBox 832">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834" name="TextBox 833">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835" name="TextBox 834">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836" name="TextBox 835">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837" name="TextBox 836">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838" name="TextBox 837">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839" name="TextBox 838">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840" name="TextBox 839">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841" name="TextBox 840">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842" name="TextBox 841">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843" name="TextBox 842">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844" name="TextBox 843">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845" name="TextBox 844">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846" name="TextBox 845">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847" name="TextBox 846">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848" name="TextBox 847">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849" name="TextBox 848">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850" name="TextBox 849">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851" name="TextBox 850">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852" name="TextBox 851">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853" name="TextBox 852">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854" name="TextBox 853">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855" name="TextBox 854">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856" name="TextBox 855">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857" name="TextBox 856">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858" name="TextBox 857">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859" name="TextBox 858">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860" name="TextBox 859">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61" name="TextBox 860">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62" name="TextBox 861">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863" name="TextBox 862">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864" name="TextBox 863">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865" name="TextBox 864">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866" name="TextBox 865">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867" name="TextBox 866">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868" name="TextBox 867">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869" name="TextBox 868">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870" name="TextBox 869">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871" name="TextBox 870">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872" name="TextBox 871">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73" name="TextBox 872">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74" name="TextBox 873">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75" name="TextBox 874">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76" name="TextBox 875">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77" name="TextBox 876">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78" name="TextBox 877">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79" name="TextBox 878">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80" name="TextBox 879">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881" name="TextBox 880">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882" name="TextBox 881">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799" name="TextBox 798">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83</xdr:row>
      <xdr:rowOff>0</xdr:rowOff>
    </xdr:from>
    <xdr:ext cx="65" cy="172227"/>
    <xdr:sp macro="" textlink="">
      <xdr:nvSpPr>
        <xdr:cNvPr id="886" name="TextBox 885">
          <a:extLst>
            <a:ext uri="{FF2B5EF4-FFF2-40B4-BE49-F238E27FC236}">
              <a16:creationId xmlns:a16="http://schemas.microsoft.com/office/drawing/2014/main" id="{00000000-0008-0000-0000-000007000000}"/>
            </a:ext>
          </a:extLst>
        </xdr:cNvPr>
        <xdr:cNvSpPr txBox="1"/>
      </xdr:nvSpPr>
      <xdr:spPr>
        <a:xfrm>
          <a:off x="8267700" y="3307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887" name="TextBox 886">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888" name="TextBox 887">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889" name="TextBox 888">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890" name="TextBox 889">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91" name="TextBox 890">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892" name="TextBox 891">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893" name="TextBox 892">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894" name="TextBox 893">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895" name="TextBox 894">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896" name="TextBox 895">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897" name="TextBox 896">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898" name="TextBox 897">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899" name="TextBox 898">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900" name="TextBox 899">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901" name="TextBox 900">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902" name="TextBox 901">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903" name="TextBox 902">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904" name="TextBox 903">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905" name="TextBox 904">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98</xdr:row>
      <xdr:rowOff>0</xdr:rowOff>
    </xdr:from>
    <xdr:ext cx="65" cy="172227"/>
    <xdr:sp macro="" textlink="">
      <xdr:nvSpPr>
        <xdr:cNvPr id="906" name="TextBox 905">
          <a:extLst>
            <a:ext uri="{FF2B5EF4-FFF2-40B4-BE49-F238E27FC236}">
              <a16:creationId xmlns:a16="http://schemas.microsoft.com/office/drawing/2014/main" id="{00000000-0008-0000-0000-000007000000}"/>
            </a:ext>
          </a:extLst>
        </xdr:cNvPr>
        <xdr:cNvSpPr txBox="1"/>
      </xdr:nvSpPr>
      <xdr:spPr>
        <a:xfrm>
          <a:off x="8267700" y="35897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907" name="TextBox 906">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908" name="TextBox 907">
          <a:extLst>
            <a:ext uri="{FF2B5EF4-FFF2-40B4-BE49-F238E27FC236}">
              <a16:creationId xmlns:a16="http://schemas.microsoft.com/office/drawing/2014/main" id="{00000000-0008-0000-0000-000007000000}"/>
            </a:ext>
          </a:extLst>
        </xdr:cNvPr>
        <xdr:cNvSpPr txBox="1"/>
      </xdr:nvSpPr>
      <xdr:spPr>
        <a:xfrm>
          <a:off x="8267700" y="3608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909" name="TextBox 908">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910" name="TextBox 909">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911" name="TextBox 910">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912" name="TextBox 911">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913" name="TextBox 912">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914" name="TextBox 913">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915" name="TextBox 914">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108</xdr:row>
      <xdr:rowOff>0</xdr:rowOff>
    </xdr:from>
    <xdr:ext cx="65" cy="172227"/>
    <xdr:sp macro="" textlink="">
      <xdr:nvSpPr>
        <xdr:cNvPr id="916" name="TextBox 915">
          <a:extLst>
            <a:ext uri="{FF2B5EF4-FFF2-40B4-BE49-F238E27FC236}">
              <a16:creationId xmlns:a16="http://schemas.microsoft.com/office/drawing/2014/main" id="{00000000-0008-0000-0000-000007000000}"/>
            </a:ext>
          </a:extLst>
        </xdr:cNvPr>
        <xdr:cNvSpPr txBox="1"/>
      </xdr:nvSpPr>
      <xdr:spPr>
        <a:xfrm>
          <a:off x="8267700" y="3772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917" name="TextBox 916">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918" name="TextBox 917">
          <a:extLst>
            <a:ext uri="{FF2B5EF4-FFF2-40B4-BE49-F238E27FC236}">
              <a16:creationId xmlns:a16="http://schemas.microsoft.com/office/drawing/2014/main" id="{00000000-0008-0000-0000-000007000000}"/>
            </a:ext>
          </a:extLst>
        </xdr:cNvPr>
        <xdr:cNvSpPr txBox="1"/>
      </xdr:nvSpPr>
      <xdr:spPr>
        <a:xfrm>
          <a:off x="8267700" y="3790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919" name="TextBox 918">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920" name="TextBox 919">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921" name="TextBox 920">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922" name="TextBox 921">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923" name="TextBox 922">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924" name="TextBox 923">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925" name="TextBox 924">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118</xdr:row>
      <xdr:rowOff>0</xdr:rowOff>
    </xdr:from>
    <xdr:ext cx="65" cy="172227"/>
    <xdr:sp macro="" textlink="">
      <xdr:nvSpPr>
        <xdr:cNvPr id="926" name="TextBox 925">
          <a:extLst>
            <a:ext uri="{FF2B5EF4-FFF2-40B4-BE49-F238E27FC236}">
              <a16:creationId xmlns:a16="http://schemas.microsoft.com/office/drawing/2014/main" id="{00000000-0008-0000-0000-000007000000}"/>
            </a:ext>
          </a:extLst>
        </xdr:cNvPr>
        <xdr:cNvSpPr txBox="1"/>
      </xdr:nvSpPr>
      <xdr:spPr>
        <a:xfrm>
          <a:off x="8267700" y="39555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927" name="TextBox 926">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928" name="TextBox 927">
          <a:extLst>
            <a:ext uri="{FF2B5EF4-FFF2-40B4-BE49-F238E27FC236}">
              <a16:creationId xmlns:a16="http://schemas.microsoft.com/office/drawing/2014/main" id="{00000000-0008-0000-0000-000007000000}"/>
            </a:ext>
          </a:extLst>
        </xdr:cNvPr>
        <xdr:cNvSpPr txBox="1"/>
      </xdr:nvSpPr>
      <xdr:spPr>
        <a:xfrm>
          <a:off x="8267700" y="3973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929" name="TextBox 928">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930" name="TextBox 929">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931" name="TextBox 930">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932" name="TextBox 931">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933" name="TextBox 932">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934" name="TextBox 933">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935" name="TextBox 934">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128</xdr:row>
      <xdr:rowOff>0</xdr:rowOff>
    </xdr:from>
    <xdr:ext cx="65" cy="172227"/>
    <xdr:sp macro="" textlink="">
      <xdr:nvSpPr>
        <xdr:cNvPr id="936" name="TextBox 935">
          <a:extLst>
            <a:ext uri="{FF2B5EF4-FFF2-40B4-BE49-F238E27FC236}">
              <a16:creationId xmlns:a16="http://schemas.microsoft.com/office/drawing/2014/main" id="{00000000-0008-0000-0000-000007000000}"/>
            </a:ext>
          </a:extLst>
        </xdr:cNvPr>
        <xdr:cNvSpPr txBox="1"/>
      </xdr:nvSpPr>
      <xdr:spPr>
        <a:xfrm>
          <a:off x="8267700" y="41384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937" name="TextBox 936">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938" name="TextBox 937">
          <a:extLst>
            <a:ext uri="{FF2B5EF4-FFF2-40B4-BE49-F238E27FC236}">
              <a16:creationId xmlns:a16="http://schemas.microsoft.com/office/drawing/2014/main" id="{00000000-0008-0000-0000-000007000000}"/>
            </a:ext>
          </a:extLst>
        </xdr:cNvPr>
        <xdr:cNvSpPr txBox="1"/>
      </xdr:nvSpPr>
      <xdr:spPr>
        <a:xfrm>
          <a:off x="8267700" y="4156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939" name="TextBox 938">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940" name="TextBox 939">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941" name="TextBox 940">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942" name="TextBox 941">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943" name="TextBox 942">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944" name="TextBox 943">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945" name="TextBox 944">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946" name="TextBox 945">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47" name="TextBox 946">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48" name="TextBox 947">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949" name="TextBox 948">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950" name="TextBox 949">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951" name="TextBox 950">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952" name="TextBox 951">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953" name="TextBox 952">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954" name="TextBox 953">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955" name="TextBox 954">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956" name="TextBox 955">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957" name="TextBox 956">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958" name="TextBox 957">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59" name="TextBox 958">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60" name="TextBox 959">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61" name="TextBox 960">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62" name="TextBox 961">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63" name="TextBox 962">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64" name="TextBox 963">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65" name="TextBox 964">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66" name="TextBox 965">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967" name="TextBox 966">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968" name="TextBox 967">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969" name="TextBox 968">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970" name="TextBox 969">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974" name="TextBox 973">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978" name="TextBox 977">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79" name="TextBox 978">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980" name="TextBox 979">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981" name="TextBox 980">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982" name="TextBox 981">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983" name="TextBox 982">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984" name="TextBox 983">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985" name="TextBox 984">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986" name="TextBox 985">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987" name="TextBox 986">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988" name="TextBox 987">
          <a:extLst>
            <a:ext uri="{FF2B5EF4-FFF2-40B4-BE49-F238E27FC236}">
              <a16:creationId xmlns:a16="http://schemas.microsoft.com/office/drawing/2014/main" id="{00000000-0008-0000-0000-000007000000}"/>
            </a:ext>
          </a:extLst>
        </xdr:cNvPr>
        <xdr:cNvSpPr txBox="1"/>
      </xdr:nvSpPr>
      <xdr:spPr>
        <a:xfrm>
          <a:off x="8267700" y="3443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989" name="TextBox 988">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990" name="TextBox 989">
          <a:extLst>
            <a:ext uri="{FF2B5EF4-FFF2-40B4-BE49-F238E27FC236}">
              <a16:creationId xmlns:a16="http://schemas.microsoft.com/office/drawing/2014/main" id="{00000000-0008-0000-0000-000007000000}"/>
            </a:ext>
          </a:extLst>
        </xdr:cNvPr>
        <xdr:cNvSpPr txBox="1"/>
      </xdr:nvSpPr>
      <xdr:spPr>
        <a:xfrm>
          <a:off x="8267700" y="3461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991" name="TextBox 990">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992" name="TextBox 991">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993" name="TextBox 992">
          <a:extLst>
            <a:ext uri="{FF2B5EF4-FFF2-40B4-BE49-F238E27FC236}">
              <a16:creationId xmlns:a16="http://schemas.microsoft.com/office/drawing/2014/main" id="{00000000-0008-0000-0000-000007000000}"/>
            </a:ext>
          </a:extLst>
        </xdr:cNvPr>
        <xdr:cNvSpPr txBox="1"/>
      </xdr:nvSpPr>
      <xdr:spPr>
        <a:xfrm>
          <a:off x="8267700" y="3498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994" name="TextBox 993">
          <a:extLst>
            <a:ext uri="{FF2B5EF4-FFF2-40B4-BE49-F238E27FC236}">
              <a16:creationId xmlns:a16="http://schemas.microsoft.com/office/drawing/2014/main" id="{00000000-0008-0000-0000-000007000000}"/>
            </a:ext>
          </a:extLst>
        </xdr:cNvPr>
        <xdr:cNvSpPr txBox="1"/>
      </xdr:nvSpPr>
      <xdr:spPr>
        <a:xfrm>
          <a:off x="8267700" y="3498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94</xdr:row>
      <xdr:rowOff>0</xdr:rowOff>
    </xdr:from>
    <xdr:ext cx="65" cy="172227"/>
    <xdr:sp macro="" textlink="">
      <xdr:nvSpPr>
        <xdr:cNvPr id="995" name="TextBox 994">
          <a:extLst>
            <a:ext uri="{FF2B5EF4-FFF2-40B4-BE49-F238E27FC236}">
              <a16:creationId xmlns:a16="http://schemas.microsoft.com/office/drawing/2014/main" id="{00000000-0008-0000-0000-000007000000}"/>
            </a:ext>
          </a:extLst>
        </xdr:cNvPr>
        <xdr:cNvSpPr txBox="1"/>
      </xdr:nvSpPr>
      <xdr:spPr>
        <a:xfrm>
          <a:off x="8267700" y="3516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94</xdr:row>
      <xdr:rowOff>0</xdr:rowOff>
    </xdr:from>
    <xdr:ext cx="65" cy="172227"/>
    <xdr:sp macro="" textlink="">
      <xdr:nvSpPr>
        <xdr:cNvPr id="996" name="TextBox 995">
          <a:extLst>
            <a:ext uri="{FF2B5EF4-FFF2-40B4-BE49-F238E27FC236}">
              <a16:creationId xmlns:a16="http://schemas.microsoft.com/office/drawing/2014/main" id="{00000000-0008-0000-0000-000007000000}"/>
            </a:ext>
          </a:extLst>
        </xdr:cNvPr>
        <xdr:cNvSpPr txBox="1"/>
      </xdr:nvSpPr>
      <xdr:spPr>
        <a:xfrm>
          <a:off x="8267700" y="3516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997" name="TextBox 996">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998" name="TextBox 997">
          <a:extLst>
            <a:ext uri="{FF2B5EF4-FFF2-40B4-BE49-F238E27FC236}">
              <a16:creationId xmlns:a16="http://schemas.microsoft.com/office/drawing/2014/main" id="{00000000-0008-0000-0000-000007000000}"/>
            </a:ext>
          </a:extLst>
        </xdr:cNvPr>
        <xdr:cNvSpPr txBox="1"/>
      </xdr:nvSpPr>
      <xdr:spPr>
        <a:xfrm>
          <a:off x="8267700" y="3626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999" name="TextBox 998">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000" name="TextBox 999">
          <a:extLst>
            <a:ext uri="{FF2B5EF4-FFF2-40B4-BE49-F238E27FC236}">
              <a16:creationId xmlns:a16="http://schemas.microsoft.com/office/drawing/2014/main" id="{00000000-0008-0000-0000-000007000000}"/>
            </a:ext>
          </a:extLst>
        </xdr:cNvPr>
        <xdr:cNvSpPr txBox="1"/>
      </xdr:nvSpPr>
      <xdr:spPr>
        <a:xfrm>
          <a:off x="8267700" y="3644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001" name="TextBox 1000">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002" name="TextBox 1001">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003" name="TextBox 1002">
          <a:extLst>
            <a:ext uri="{FF2B5EF4-FFF2-40B4-BE49-F238E27FC236}">
              <a16:creationId xmlns:a16="http://schemas.microsoft.com/office/drawing/2014/main" id="{00000000-0008-0000-0000-000007000000}"/>
            </a:ext>
          </a:extLst>
        </xdr:cNvPr>
        <xdr:cNvSpPr txBox="1"/>
      </xdr:nvSpPr>
      <xdr:spPr>
        <a:xfrm>
          <a:off x="8267700" y="36812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004" name="TextBox 1003">
          <a:extLst>
            <a:ext uri="{FF2B5EF4-FFF2-40B4-BE49-F238E27FC236}">
              <a16:creationId xmlns:a16="http://schemas.microsoft.com/office/drawing/2014/main" id="{00000000-0008-0000-0000-000007000000}"/>
            </a:ext>
          </a:extLst>
        </xdr:cNvPr>
        <xdr:cNvSpPr txBox="1"/>
      </xdr:nvSpPr>
      <xdr:spPr>
        <a:xfrm>
          <a:off x="8267700" y="36812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104</xdr:row>
      <xdr:rowOff>0</xdr:rowOff>
    </xdr:from>
    <xdr:ext cx="65" cy="172227"/>
    <xdr:sp macro="" textlink="">
      <xdr:nvSpPr>
        <xdr:cNvPr id="1005" name="TextBox 1004">
          <a:extLst>
            <a:ext uri="{FF2B5EF4-FFF2-40B4-BE49-F238E27FC236}">
              <a16:creationId xmlns:a16="http://schemas.microsoft.com/office/drawing/2014/main" id="{00000000-0008-0000-0000-000007000000}"/>
            </a:ext>
          </a:extLst>
        </xdr:cNvPr>
        <xdr:cNvSpPr txBox="1"/>
      </xdr:nvSpPr>
      <xdr:spPr>
        <a:xfrm>
          <a:off x="8267700" y="36995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104</xdr:row>
      <xdr:rowOff>0</xdr:rowOff>
    </xdr:from>
    <xdr:ext cx="65" cy="172227"/>
    <xdr:sp macro="" textlink="">
      <xdr:nvSpPr>
        <xdr:cNvPr id="1006" name="TextBox 1005">
          <a:extLst>
            <a:ext uri="{FF2B5EF4-FFF2-40B4-BE49-F238E27FC236}">
              <a16:creationId xmlns:a16="http://schemas.microsoft.com/office/drawing/2014/main" id="{00000000-0008-0000-0000-000007000000}"/>
            </a:ext>
          </a:extLst>
        </xdr:cNvPr>
        <xdr:cNvSpPr txBox="1"/>
      </xdr:nvSpPr>
      <xdr:spPr>
        <a:xfrm>
          <a:off x="8267700" y="36995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007" name="TextBox 1006">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008" name="TextBox 1007">
          <a:extLst>
            <a:ext uri="{FF2B5EF4-FFF2-40B4-BE49-F238E27FC236}">
              <a16:creationId xmlns:a16="http://schemas.microsoft.com/office/drawing/2014/main" id="{00000000-0008-0000-0000-000007000000}"/>
            </a:ext>
          </a:extLst>
        </xdr:cNvPr>
        <xdr:cNvSpPr txBox="1"/>
      </xdr:nvSpPr>
      <xdr:spPr>
        <a:xfrm>
          <a:off x="8267700" y="3809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009" name="TextBox 1008">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010" name="TextBox 1009">
          <a:extLst>
            <a:ext uri="{FF2B5EF4-FFF2-40B4-BE49-F238E27FC236}">
              <a16:creationId xmlns:a16="http://schemas.microsoft.com/office/drawing/2014/main" id="{00000000-0008-0000-0000-000007000000}"/>
            </a:ext>
          </a:extLst>
        </xdr:cNvPr>
        <xdr:cNvSpPr txBox="1"/>
      </xdr:nvSpPr>
      <xdr:spPr>
        <a:xfrm>
          <a:off x="8267700" y="3827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011" name="TextBox 1010">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012" name="TextBox 1011">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013" name="TextBox 1012">
          <a:extLst>
            <a:ext uri="{FF2B5EF4-FFF2-40B4-BE49-F238E27FC236}">
              <a16:creationId xmlns:a16="http://schemas.microsoft.com/office/drawing/2014/main" id="{00000000-0008-0000-0000-000007000000}"/>
            </a:ext>
          </a:extLst>
        </xdr:cNvPr>
        <xdr:cNvSpPr txBox="1"/>
      </xdr:nvSpPr>
      <xdr:spPr>
        <a:xfrm>
          <a:off x="8267700" y="38641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014" name="TextBox 1013">
          <a:extLst>
            <a:ext uri="{FF2B5EF4-FFF2-40B4-BE49-F238E27FC236}">
              <a16:creationId xmlns:a16="http://schemas.microsoft.com/office/drawing/2014/main" id="{00000000-0008-0000-0000-000007000000}"/>
            </a:ext>
          </a:extLst>
        </xdr:cNvPr>
        <xdr:cNvSpPr txBox="1"/>
      </xdr:nvSpPr>
      <xdr:spPr>
        <a:xfrm>
          <a:off x="8267700" y="38641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114</xdr:row>
      <xdr:rowOff>0</xdr:rowOff>
    </xdr:from>
    <xdr:ext cx="65" cy="172227"/>
    <xdr:sp macro="" textlink="">
      <xdr:nvSpPr>
        <xdr:cNvPr id="1015" name="TextBox 1014">
          <a:extLst>
            <a:ext uri="{FF2B5EF4-FFF2-40B4-BE49-F238E27FC236}">
              <a16:creationId xmlns:a16="http://schemas.microsoft.com/office/drawing/2014/main" id="{00000000-0008-0000-0000-000007000000}"/>
            </a:ext>
          </a:extLst>
        </xdr:cNvPr>
        <xdr:cNvSpPr txBox="1"/>
      </xdr:nvSpPr>
      <xdr:spPr>
        <a:xfrm>
          <a:off x="8267700" y="38823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114</xdr:row>
      <xdr:rowOff>0</xdr:rowOff>
    </xdr:from>
    <xdr:ext cx="65" cy="172227"/>
    <xdr:sp macro="" textlink="">
      <xdr:nvSpPr>
        <xdr:cNvPr id="1016" name="TextBox 1015">
          <a:extLst>
            <a:ext uri="{FF2B5EF4-FFF2-40B4-BE49-F238E27FC236}">
              <a16:creationId xmlns:a16="http://schemas.microsoft.com/office/drawing/2014/main" id="{00000000-0008-0000-0000-000007000000}"/>
            </a:ext>
          </a:extLst>
        </xdr:cNvPr>
        <xdr:cNvSpPr txBox="1"/>
      </xdr:nvSpPr>
      <xdr:spPr>
        <a:xfrm>
          <a:off x="8267700" y="38823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017" name="TextBox 1016">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018" name="TextBox 1017">
          <a:extLst>
            <a:ext uri="{FF2B5EF4-FFF2-40B4-BE49-F238E27FC236}">
              <a16:creationId xmlns:a16="http://schemas.microsoft.com/office/drawing/2014/main" id="{00000000-0008-0000-0000-000007000000}"/>
            </a:ext>
          </a:extLst>
        </xdr:cNvPr>
        <xdr:cNvSpPr txBox="1"/>
      </xdr:nvSpPr>
      <xdr:spPr>
        <a:xfrm>
          <a:off x="8267700" y="399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019" name="TextBox 1018">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020" name="TextBox 1019">
          <a:extLst>
            <a:ext uri="{FF2B5EF4-FFF2-40B4-BE49-F238E27FC236}">
              <a16:creationId xmlns:a16="http://schemas.microsoft.com/office/drawing/2014/main" id="{00000000-0008-0000-0000-000007000000}"/>
            </a:ext>
          </a:extLst>
        </xdr:cNvPr>
        <xdr:cNvSpPr txBox="1"/>
      </xdr:nvSpPr>
      <xdr:spPr>
        <a:xfrm>
          <a:off x="8267700" y="40104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021" name="TextBox 1020">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022" name="TextBox 1021">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023" name="TextBox 1022">
          <a:extLst>
            <a:ext uri="{FF2B5EF4-FFF2-40B4-BE49-F238E27FC236}">
              <a16:creationId xmlns:a16="http://schemas.microsoft.com/office/drawing/2014/main" id="{00000000-0008-0000-0000-000007000000}"/>
            </a:ext>
          </a:extLst>
        </xdr:cNvPr>
        <xdr:cNvSpPr txBox="1"/>
      </xdr:nvSpPr>
      <xdr:spPr>
        <a:xfrm>
          <a:off x="8267700" y="40469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024" name="TextBox 1023">
          <a:extLst>
            <a:ext uri="{FF2B5EF4-FFF2-40B4-BE49-F238E27FC236}">
              <a16:creationId xmlns:a16="http://schemas.microsoft.com/office/drawing/2014/main" id="{00000000-0008-0000-0000-000007000000}"/>
            </a:ext>
          </a:extLst>
        </xdr:cNvPr>
        <xdr:cNvSpPr txBox="1"/>
      </xdr:nvSpPr>
      <xdr:spPr>
        <a:xfrm>
          <a:off x="8267700" y="40469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124</xdr:row>
      <xdr:rowOff>0</xdr:rowOff>
    </xdr:from>
    <xdr:ext cx="65" cy="172227"/>
    <xdr:sp macro="" textlink="">
      <xdr:nvSpPr>
        <xdr:cNvPr id="1025" name="TextBox 1024">
          <a:extLst>
            <a:ext uri="{FF2B5EF4-FFF2-40B4-BE49-F238E27FC236}">
              <a16:creationId xmlns:a16="http://schemas.microsoft.com/office/drawing/2014/main" id="{00000000-0008-0000-0000-000007000000}"/>
            </a:ext>
          </a:extLst>
        </xdr:cNvPr>
        <xdr:cNvSpPr txBox="1"/>
      </xdr:nvSpPr>
      <xdr:spPr>
        <a:xfrm>
          <a:off x="8267700" y="4065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124</xdr:row>
      <xdr:rowOff>0</xdr:rowOff>
    </xdr:from>
    <xdr:ext cx="65" cy="172227"/>
    <xdr:sp macro="" textlink="">
      <xdr:nvSpPr>
        <xdr:cNvPr id="1026" name="TextBox 1025">
          <a:extLst>
            <a:ext uri="{FF2B5EF4-FFF2-40B4-BE49-F238E27FC236}">
              <a16:creationId xmlns:a16="http://schemas.microsoft.com/office/drawing/2014/main" id="{00000000-0008-0000-0000-000007000000}"/>
            </a:ext>
          </a:extLst>
        </xdr:cNvPr>
        <xdr:cNvSpPr txBox="1"/>
      </xdr:nvSpPr>
      <xdr:spPr>
        <a:xfrm>
          <a:off x="8267700" y="4065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027" name="TextBox 1026">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028" name="TextBox 1027">
          <a:extLst>
            <a:ext uri="{FF2B5EF4-FFF2-40B4-BE49-F238E27FC236}">
              <a16:creationId xmlns:a16="http://schemas.microsoft.com/office/drawing/2014/main" id="{00000000-0008-0000-0000-000007000000}"/>
            </a:ext>
          </a:extLst>
        </xdr:cNvPr>
        <xdr:cNvSpPr txBox="1"/>
      </xdr:nvSpPr>
      <xdr:spPr>
        <a:xfrm>
          <a:off x="8267700" y="41749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029" name="TextBox 1028">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030" name="TextBox 1029">
          <a:extLst>
            <a:ext uri="{FF2B5EF4-FFF2-40B4-BE49-F238E27FC236}">
              <a16:creationId xmlns:a16="http://schemas.microsoft.com/office/drawing/2014/main" id="{00000000-0008-0000-0000-000007000000}"/>
            </a:ext>
          </a:extLst>
        </xdr:cNvPr>
        <xdr:cNvSpPr txBox="1"/>
      </xdr:nvSpPr>
      <xdr:spPr>
        <a:xfrm>
          <a:off x="8267700" y="41932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031" name="TextBox 1030">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032" name="TextBox 1031">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033" name="TextBox 1032">
          <a:extLst>
            <a:ext uri="{FF2B5EF4-FFF2-40B4-BE49-F238E27FC236}">
              <a16:creationId xmlns:a16="http://schemas.microsoft.com/office/drawing/2014/main" id="{00000000-0008-0000-0000-000007000000}"/>
            </a:ext>
          </a:extLst>
        </xdr:cNvPr>
        <xdr:cNvSpPr txBox="1"/>
      </xdr:nvSpPr>
      <xdr:spPr>
        <a:xfrm>
          <a:off x="8267700" y="42298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034" name="TextBox 1033">
          <a:extLst>
            <a:ext uri="{FF2B5EF4-FFF2-40B4-BE49-F238E27FC236}">
              <a16:creationId xmlns:a16="http://schemas.microsoft.com/office/drawing/2014/main" id="{00000000-0008-0000-0000-000007000000}"/>
            </a:ext>
          </a:extLst>
        </xdr:cNvPr>
        <xdr:cNvSpPr txBox="1"/>
      </xdr:nvSpPr>
      <xdr:spPr>
        <a:xfrm>
          <a:off x="8267700" y="42298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134</xdr:row>
      <xdr:rowOff>0</xdr:rowOff>
    </xdr:from>
    <xdr:ext cx="65" cy="172227"/>
    <xdr:sp macro="" textlink="">
      <xdr:nvSpPr>
        <xdr:cNvPr id="1035" name="TextBox 1034">
          <a:extLst>
            <a:ext uri="{FF2B5EF4-FFF2-40B4-BE49-F238E27FC236}">
              <a16:creationId xmlns:a16="http://schemas.microsoft.com/office/drawing/2014/main" id="{00000000-0008-0000-0000-000007000000}"/>
            </a:ext>
          </a:extLst>
        </xdr:cNvPr>
        <xdr:cNvSpPr txBox="1"/>
      </xdr:nvSpPr>
      <xdr:spPr>
        <a:xfrm>
          <a:off x="8267700" y="4248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134</xdr:row>
      <xdr:rowOff>0</xdr:rowOff>
    </xdr:from>
    <xdr:ext cx="65" cy="172227"/>
    <xdr:sp macro="" textlink="">
      <xdr:nvSpPr>
        <xdr:cNvPr id="1036" name="TextBox 1035">
          <a:extLst>
            <a:ext uri="{FF2B5EF4-FFF2-40B4-BE49-F238E27FC236}">
              <a16:creationId xmlns:a16="http://schemas.microsoft.com/office/drawing/2014/main" id="{00000000-0008-0000-0000-000007000000}"/>
            </a:ext>
          </a:extLst>
        </xdr:cNvPr>
        <xdr:cNvSpPr txBox="1"/>
      </xdr:nvSpPr>
      <xdr:spPr>
        <a:xfrm>
          <a:off x="8267700" y="4248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037" name="TextBox 1036">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038" name="TextBox 1037">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39" name="TextBox 1038">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40" name="TextBox 1039">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041" name="TextBox 1040">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042" name="TextBox 1041">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043" name="TextBox 1042">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044" name="TextBox 1043">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045" name="TextBox 1044">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046" name="TextBox 1045">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047" name="TextBox 1046">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048" name="TextBox 1047">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049" name="TextBox 1048">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050" name="TextBox 1049">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51" name="TextBox 1050">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52" name="TextBox 1051">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53" name="TextBox 1052">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54" name="TextBox 1053">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55" name="TextBox 1054">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56" name="TextBox 1055">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57" name="TextBox 1056">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58" name="TextBox 1057">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059" name="TextBox 1058">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060" name="TextBox 1059">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061" name="TextBox 1060">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062" name="TextBox 1061">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975" name="TextBox 974">
          <a:extLst>
            <a:ext uri="{FF2B5EF4-FFF2-40B4-BE49-F238E27FC236}">
              <a16:creationId xmlns:a16="http://schemas.microsoft.com/office/drawing/2014/main" id="{00000000-0008-0000-0000-000007000000}"/>
            </a:ext>
          </a:extLst>
        </xdr:cNvPr>
        <xdr:cNvSpPr txBox="1"/>
      </xdr:nvSpPr>
      <xdr:spPr>
        <a:xfrm>
          <a:off x="8267700" y="33809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064" name="TextBox 1063">
          <a:extLst>
            <a:ext uri="{FF2B5EF4-FFF2-40B4-BE49-F238E27FC236}">
              <a16:creationId xmlns:a16="http://schemas.microsoft.com/office/drawing/2014/main" id="{00000000-0008-0000-0000-000007000000}"/>
            </a:ext>
          </a:extLst>
        </xdr:cNvPr>
        <xdr:cNvSpPr txBox="1"/>
      </xdr:nvSpPr>
      <xdr:spPr>
        <a:xfrm>
          <a:off x="8267700" y="33809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065" name="TextBox 1064">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066" name="TextBox 1065">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067" name="TextBox 1066">
          <a:extLst>
            <a:ext uri="{FF2B5EF4-FFF2-40B4-BE49-F238E27FC236}">
              <a16:creationId xmlns:a16="http://schemas.microsoft.com/office/drawing/2014/main" id="{00000000-0008-0000-0000-000007000000}"/>
            </a:ext>
          </a:extLst>
        </xdr:cNvPr>
        <xdr:cNvSpPr txBox="1"/>
      </xdr:nvSpPr>
      <xdr:spPr>
        <a:xfrm>
          <a:off x="8267700" y="34206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068" name="TextBox 1067">
          <a:extLst>
            <a:ext uri="{FF2B5EF4-FFF2-40B4-BE49-F238E27FC236}">
              <a16:creationId xmlns:a16="http://schemas.microsoft.com/office/drawing/2014/main" id="{00000000-0008-0000-0000-000007000000}"/>
            </a:ext>
          </a:extLst>
        </xdr:cNvPr>
        <xdr:cNvSpPr txBox="1"/>
      </xdr:nvSpPr>
      <xdr:spPr>
        <a:xfrm>
          <a:off x="8267700" y="34206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69" name="TextBox 1068">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070" name="TextBox 1069">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071" name="TextBox 1070">
          <a:extLst>
            <a:ext uri="{FF2B5EF4-FFF2-40B4-BE49-F238E27FC236}">
              <a16:creationId xmlns:a16="http://schemas.microsoft.com/office/drawing/2014/main" id="{00000000-0008-0000-0000-000007000000}"/>
            </a:ext>
          </a:extLst>
        </xdr:cNvPr>
        <xdr:cNvSpPr txBox="1"/>
      </xdr:nvSpPr>
      <xdr:spPr>
        <a:xfrm>
          <a:off x="8267700" y="34602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072" name="TextBox 1071">
          <a:extLst>
            <a:ext uri="{FF2B5EF4-FFF2-40B4-BE49-F238E27FC236}">
              <a16:creationId xmlns:a16="http://schemas.microsoft.com/office/drawing/2014/main" id="{00000000-0008-0000-0000-000007000000}"/>
            </a:ext>
          </a:extLst>
        </xdr:cNvPr>
        <xdr:cNvSpPr txBox="1"/>
      </xdr:nvSpPr>
      <xdr:spPr>
        <a:xfrm>
          <a:off x="8267700" y="34602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073" name="TextBox 1072">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074" name="TextBox 1073">
          <a:extLst>
            <a:ext uri="{FF2B5EF4-FFF2-40B4-BE49-F238E27FC236}">
              <a16:creationId xmlns:a16="http://schemas.microsoft.com/office/drawing/2014/main" id="{00000000-0008-0000-0000-000007000000}"/>
            </a:ext>
          </a:extLst>
        </xdr:cNvPr>
        <xdr:cNvSpPr txBox="1"/>
      </xdr:nvSpPr>
      <xdr:spPr>
        <a:xfrm>
          <a:off x="8267700" y="3480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075" name="TextBox 1074">
          <a:extLst>
            <a:ext uri="{FF2B5EF4-FFF2-40B4-BE49-F238E27FC236}">
              <a16:creationId xmlns:a16="http://schemas.microsoft.com/office/drawing/2014/main" id="{00000000-0008-0000-0000-000007000000}"/>
            </a:ext>
          </a:extLst>
        </xdr:cNvPr>
        <xdr:cNvSpPr txBox="1"/>
      </xdr:nvSpPr>
      <xdr:spPr>
        <a:xfrm>
          <a:off x="8267700" y="3498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076" name="TextBox 1075">
          <a:extLst>
            <a:ext uri="{FF2B5EF4-FFF2-40B4-BE49-F238E27FC236}">
              <a16:creationId xmlns:a16="http://schemas.microsoft.com/office/drawing/2014/main" id="{00000000-0008-0000-0000-000007000000}"/>
            </a:ext>
          </a:extLst>
        </xdr:cNvPr>
        <xdr:cNvSpPr txBox="1"/>
      </xdr:nvSpPr>
      <xdr:spPr>
        <a:xfrm>
          <a:off x="8267700" y="3498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1077" name="TextBox 1076">
          <a:extLst>
            <a:ext uri="{FF2B5EF4-FFF2-40B4-BE49-F238E27FC236}">
              <a16:creationId xmlns:a16="http://schemas.microsoft.com/office/drawing/2014/main" id="{00000000-0008-0000-0000-000007000000}"/>
            </a:ext>
          </a:extLst>
        </xdr:cNvPr>
        <xdr:cNvSpPr txBox="1"/>
      </xdr:nvSpPr>
      <xdr:spPr>
        <a:xfrm>
          <a:off x="8267700" y="3516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1078" name="TextBox 1077">
          <a:extLst>
            <a:ext uri="{FF2B5EF4-FFF2-40B4-BE49-F238E27FC236}">
              <a16:creationId xmlns:a16="http://schemas.microsoft.com/office/drawing/2014/main" id="{00000000-0008-0000-0000-000007000000}"/>
            </a:ext>
          </a:extLst>
        </xdr:cNvPr>
        <xdr:cNvSpPr txBox="1"/>
      </xdr:nvSpPr>
      <xdr:spPr>
        <a:xfrm>
          <a:off x="8267700" y="3516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1079" name="TextBox 1078">
          <a:extLst>
            <a:ext uri="{FF2B5EF4-FFF2-40B4-BE49-F238E27FC236}">
              <a16:creationId xmlns:a16="http://schemas.microsoft.com/office/drawing/2014/main" id="{00000000-0008-0000-0000-000007000000}"/>
            </a:ext>
          </a:extLst>
        </xdr:cNvPr>
        <xdr:cNvSpPr txBox="1"/>
      </xdr:nvSpPr>
      <xdr:spPr>
        <a:xfrm>
          <a:off x="8267700" y="35349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1080" name="TextBox 1079">
          <a:extLst>
            <a:ext uri="{FF2B5EF4-FFF2-40B4-BE49-F238E27FC236}">
              <a16:creationId xmlns:a16="http://schemas.microsoft.com/office/drawing/2014/main" id="{00000000-0008-0000-0000-000007000000}"/>
            </a:ext>
          </a:extLst>
        </xdr:cNvPr>
        <xdr:cNvSpPr txBox="1"/>
      </xdr:nvSpPr>
      <xdr:spPr>
        <a:xfrm>
          <a:off x="8267700" y="35349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94</xdr:row>
      <xdr:rowOff>0</xdr:rowOff>
    </xdr:from>
    <xdr:ext cx="65" cy="172227"/>
    <xdr:sp macro="" textlink="">
      <xdr:nvSpPr>
        <xdr:cNvPr id="1081" name="TextBox 1080">
          <a:extLst>
            <a:ext uri="{FF2B5EF4-FFF2-40B4-BE49-F238E27FC236}">
              <a16:creationId xmlns:a16="http://schemas.microsoft.com/office/drawing/2014/main" id="{00000000-0008-0000-0000-000007000000}"/>
            </a:ext>
          </a:extLst>
        </xdr:cNvPr>
        <xdr:cNvSpPr txBox="1"/>
      </xdr:nvSpPr>
      <xdr:spPr>
        <a:xfrm>
          <a:off x="8267700" y="35532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94</xdr:row>
      <xdr:rowOff>0</xdr:rowOff>
    </xdr:from>
    <xdr:ext cx="65" cy="172227"/>
    <xdr:sp macro="" textlink="">
      <xdr:nvSpPr>
        <xdr:cNvPr id="1082" name="TextBox 1081">
          <a:extLst>
            <a:ext uri="{FF2B5EF4-FFF2-40B4-BE49-F238E27FC236}">
              <a16:creationId xmlns:a16="http://schemas.microsoft.com/office/drawing/2014/main" id="{00000000-0008-0000-0000-000007000000}"/>
            </a:ext>
          </a:extLst>
        </xdr:cNvPr>
        <xdr:cNvSpPr txBox="1"/>
      </xdr:nvSpPr>
      <xdr:spPr>
        <a:xfrm>
          <a:off x="8267700" y="35532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083" name="TextBox 1082">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084" name="TextBox 1083">
          <a:extLst>
            <a:ext uri="{FF2B5EF4-FFF2-40B4-BE49-F238E27FC236}">
              <a16:creationId xmlns:a16="http://schemas.microsoft.com/office/drawing/2014/main" id="{00000000-0008-0000-0000-000007000000}"/>
            </a:ext>
          </a:extLst>
        </xdr:cNvPr>
        <xdr:cNvSpPr txBox="1"/>
      </xdr:nvSpPr>
      <xdr:spPr>
        <a:xfrm>
          <a:off x="8267700" y="3662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085" name="TextBox 1084">
          <a:extLst>
            <a:ext uri="{FF2B5EF4-FFF2-40B4-BE49-F238E27FC236}">
              <a16:creationId xmlns:a16="http://schemas.microsoft.com/office/drawing/2014/main" id="{00000000-0008-0000-0000-000007000000}"/>
            </a:ext>
          </a:extLst>
        </xdr:cNvPr>
        <xdr:cNvSpPr txBox="1"/>
      </xdr:nvSpPr>
      <xdr:spPr>
        <a:xfrm>
          <a:off x="8267700" y="36812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086" name="TextBox 1085">
          <a:extLst>
            <a:ext uri="{FF2B5EF4-FFF2-40B4-BE49-F238E27FC236}">
              <a16:creationId xmlns:a16="http://schemas.microsoft.com/office/drawing/2014/main" id="{00000000-0008-0000-0000-000007000000}"/>
            </a:ext>
          </a:extLst>
        </xdr:cNvPr>
        <xdr:cNvSpPr txBox="1"/>
      </xdr:nvSpPr>
      <xdr:spPr>
        <a:xfrm>
          <a:off x="8267700" y="36812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087" name="TextBox 1086">
          <a:extLst>
            <a:ext uri="{FF2B5EF4-FFF2-40B4-BE49-F238E27FC236}">
              <a16:creationId xmlns:a16="http://schemas.microsoft.com/office/drawing/2014/main" id="{00000000-0008-0000-0000-000007000000}"/>
            </a:ext>
          </a:extLst>
        </xdr:cNvPr>
        <xdr:cNvSpPr txBox="1"/>
      </xdr:nvSpPr>
      <xdr:spPr>
        <a:xfrm>
          <a:off x="8267700" y="36995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088" name="TextBox 1087">
          <a:extLst>
            <a:ext uri="{FF2B5EF4-FFF2-40B4-BE49-F238E27FC236}">
              <a16:creationId xmlns:a16="http://schemas.microsoft.com/office/drawing/2014/main" id="{00000000-0008-0000-0000-000007000000}"/>
            </a:ext>
          </a:extLst>
        </xdr:cNvPr>
        <xdr:cNvSpPr txBox="1"/>
      </xdr:nvSpPr>
      <xdr:spPr>
        <a:xfrm>
          <a:off x="8267700" y="36995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089" name="TextBox 1088">
          <a:extLst>
            <a:ext uri="{FF2B5EF4-FFF2-40B4-BE49-F238E27FC236}">
              <a16:creationId xmlns:a16="http://schemas.microsoft.com/office/drawing/2014/main" id="{00000000-0008-0000-0000-000007000000}"/>
            </a:ext>
          </a:extLst>
        </xdr:cNvPr>
        <xdr:cNvSpPr txBox="1"/>
      </xdr:nvSpPr>
      <xdr:spPr>
        <a:xfrm>
          <a:off x="8267700" y="37177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090" name="TextBox 1089">
          <a:extLst>
            <a:ext uri="{FF2B5EF4-FFF2-40B4-BE49-F238E27FC236}">
              <a16:creationId xmlns:a16="http://schemas.microsoft.com/office/drawing/2014/main" id="{00000000-0008-0000-0000-000007000000}"/>
            </a:ext>
          </a:extLst>
        </xdr:cNvPr>
        <xdr:cNvSpPr txBox="1"/>
      </xdr:nvSpPr>
      <xdr:spPr>
        <a:xfrm>
          <a:off x="8267700" y="37177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104</xdr:row>
      <xdr:rowOff>0</xdr:rowOff>
    </xdr:from>
    <xdr:ext cx="65" cy="172227"/>
    <xdr:sp macro="" textlink="">
      <xdr:nvSpPr>
        <xdr:cNvPr id="1091" name="TextBox 1090">
          <a:extLst>
            <a:ext uri="{FF2B5EF4-FFF2-40B4-BE49-F238E27FC236}">
              <a16:creationId xmlns:a16="http://schemas.microsoft.com/office/drawing/2014/main" id="{00000000-0008-0000-0000-000007000000}"/>
            </a:ext>
          </a:extLst>
        </xdr:cNvPr>
        <xdr:cNvSpPr txBox="1"/>
      </xdr:nvSpPr>
      <xdr:spPr>
        <a:xfrm>
          <a:off x="8267700" y="3736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104</xdr:row>
      <xdr:rowOff>0</xdr:rowOff>
    </xdr:from>
    <xdr:ext cx="65" cy="172227"/>
    <xdr:sp macro="" textlink="">
      <xdr:nvSpPr>
        <xdr:cNvPr id="1092" name="TextBox 1091">
          <a:extLst>
            <a:ext uri="{FF2B5EF4-FFF2-40B4-BE49-F238E27FC236}">
              <a16:creationId xmlns:a16="http://schemas.microsoft.com/office/drawing/2014/main" id="{00000000-0008-0000-0000-000007000000}"/>
            </a:ext>
          </a:extLst>
        </xdr:cNvPr>
        <xdr:cNvSpPr txBox="1"/>
      </xdr:nvSpPr>
      <xdr:spPr>
        <a:xfrm>
          <a:off x="8267700" y="3736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093" name="TextBox 1092">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094" name="TextBox 1093">
          <a:extLst>
            <a:ext uri="{FF2B5EF4-FFF2-40B4-BE49-F238E27FC236}">
              <a16:creationId xmlns:a16="http://schemas.microsoft.com/office/drawing/2014/main" id="{00000000-0008-0000-0000-000007000000}"/>
            </a:ext>
          </a:extLst>
        </xdr:cNvPr>
        <xdr:cNvSpPr txBox="1"/>
      </xdr:nvSpPr>
      <xdr:spPr>
        <a:xfrm>
          <a:off x="8267700" y="3845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095" name="TextBox 1094">
          <a:extLst>
            <a:ext uri="{FF2B5EF4-FFF2-40B4-BE49-F238E27FC236}">
              <a16:creationId xmlns:a16="http://schemas.microsoft.com/office/drawing/2014/main" id="{00000000-0008-0000-0000-000007000000}"/>
            </a:ext>
          </a:extLst>
        </xdr:cNvPr>
        <xdr:cNvSpPr txBox="1"/>
      </xdr:nvSpPr>
      <xdr:spPr>
        <a:xfrm>
          <a:off x="8267700" y="38641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096" name="TextBox 1095">
          <a:extLst>
            <a:ext uri="{FF2B5EF4-FFF2-40B4-BE49-F238E27FC236}">
              <a16:creationId xmlns:a16="http://schemas.microsoft.com/office/drawing/2014/main" id="{00000000-0008-0000-0000-000007000000}"/>
            </a:ext>
          </a:extLst>
        </xdr:cNvPr>
        <xdr:cNvSpPr txBox="1"/>
      </xdr:nvSpPr>
      <xdr:spPr>
        <a:xfrm>
          <a:off x="8267700" y="38641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097" name="TextBox 1096">
          <a:extLst>
            <a:ext uri="{FF2B5EF4-FFF2-40B4-BE49-F238E27FC236}">
              <a16:creationId xmlns:a16="http://schemas.microsoft.com/office/drawing/2014/main" id="{00000000-0008-0000-0000-000007000000}"/>
            </a:ext>
          </a:extLst>
        </xdr:cNvPr>
        <xdr:cNvSpPr txBox="1"/>
      </xdr:nvSpPr>
      <xdr:spPr>
        <a:xfrm>
          <a:off x="8267700" y="38823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098" name="TextBox 1097">
          <a:extLst>
            <a:ext uri="{FF2B5EF4-FFF2-40B4-BE49-F238E27FC236}">
              <a16:creationId xmlns:a16="http://schemas.microsoft.com/office/drawing/2014/main" id="{00000000-0008-0000-0000-000007000000}"/>
            </a:ext>
          </a:extLst>
        </xdr:cNvPr>
        <xdr:cNvSpPr txBox="1"/>
      </xdr:nvSpPr>
      <xdr:spPr>
        <a:xfrm>
          <a:off x="8267700" y="38823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099" name="TextBox 1098">
          <a:extLst>
            <a:ext uri="{FF2B5EF4-FFF2-40B4-BE49-F238E27FC236}">
              <a16:creationId xmlns:a16="http://schemas.microsoft.com/office/drawing/2014/main" id="{00000000-0008-0000-0000-000007000000}"/>
            </a:ext>
          </a:extLst>
        </xdr:cNvPr>
        <xdr:cNvSpPr txBox="1"/>
      </xdr:nvSpPr>
      <xdr:spPr>
        <a:xfrm>
          <a:off x="8267700" y="39006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100" name="TextBox 1099">
          <a:extLst>
            <a:ext uri="{FF2B5EF4-FFF2-40B4-BE49-F238E27FC236}">
              <a16:creationId xmlns:a16="http://schemas.microsoft.com/office/drawing/2014/main" id="{00000000-0008-0000-0000-000007000000}"/>
            </a:ext>
          </a:extLst>
        </xdr:cNvPr>
        <xdr:cNvSpPr txBox="1"/>
      </xdr:nvSpPr>
      <xdr:spPr>
        <a:xfrm>
          <a:off x="8267700" y="39006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114</xdr:row>
      <xdr:rowOff>0</xdr:rowOff>
    </xdr:from>
    <xdr:ext cx="65" cy="172227"/>
    <xdr:sp macro="" textlink="">
      <xdr:nvSpPr>
        <xdr:cNvPr id="1101" name="TextBox 1100">
          <a:extLst>
            <a:ext uri="{FF2B5EF4-FFF2-40B4-BE49-F238E27FC236}">
              <a16:creationId xmlns:a16="http://schemas.microsoft.com/office/drawing/2014/main" id="{00000000-0008-0000-0000-000007000000}"/>
            </a:ext>
          </a:extLst>
        </xdr:cNvPr>
        <xdr:cNvSpPr txBox="1"/>
      </xdr:nvSpPr>
      <xdr:spPr>
        <a:xfrm>
          <a:off x="8267700" y="39189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114</xdr:row>
      <xdr:rowOff>0</xdr:rowOff>
    </xdr:from>
    <xdr:ext cx="65" cy="172227"/>
    <xdr:sp macro="" textlink="">
      <xdr:nvSpPr>
        <xdr:cNvPr id="1102" name="TextBox 1101">
          <a:extLst>
            <a:ext uri="{FF2B5EF4-FFF2-40B4-BE49-F238E27FC236}">
              <a16:creationId xmlns:a16="http://schemas.microsoft.com/office/drawing/2014/main" id="{00000000-0008-0000-0000-000007000000}"/>
            </a:ext>
          </a:extLst>
        </xdr:cNvPr>
        <xdr:cNvSpPr txBox="1"/>
      </xdr:nvSpPr>
      <xdr:spPr>
        <a:xfrm>
          <a:off x="8267700" y="39189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103" name="TextBox 1102">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104" name="TextBox 1103">
          <a:extLst>
            <a:ext uri="{FF2B5EF4-FFF2-40B4-BE49-F238E27FC236}">
              <a16:creationId xmlns:a16="http://schemas.microsoft.com/office/drawing/2014/main" id="{00000000-0008-0000-0000-000007000000}"/>
            </a:ext>
          </a:extLst>
        </xdr:cNvPr>
        <xdr:cNvSpPr txBox="1"/>
      </xdr:nvSpPr>
      <xdr:spPr>
        <a:xfrm>
          <a:off x="8267700" y="40286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105" name="TextBox 1104">
          <a:extLst>
            <a:ext uri="{FF2B5EF4-FFF2-40B4-BE49-F238E27FC236}">
              <a16:creationId xmlns:a16="http://schemas.microsoft.com/office/drawing/2014/main" id="{00000000-0008-0000-0000-000007000000}"/>
            </a:ext>
          </a:extLst>
        </xdr:cNvPr>
        <xdr:cNvSpPr txBox="1"/>
      </xdr:nvSpPr>
      <xdr:spPr>
        <a:xfrm>
          <a:off x="8267700" y="40469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106" name="TextBox 1105">
          <a:extLst>
            <a:ext uri="{FF2B5EF4-FFF2-40B4-BE49-F238E27FC236}">
              <a16:creationId xmlns:a16="http://schemas.microsoft.com/office/drawing/2014/main" id="{00000000-0008-0000-0000-000007000000}"/>
            </a:ext>
          </a:extLst>
        </xdr:cNvPr>
        <xdr:cNvSpPr txBox="1"/>
      </xdr:nvSpPr>
      <xdr:spPr>
        <a:xfrm>
          <a:off x="8267700" y="40469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107" name="TextBox 1106">
          <a:extLst>
            <a:ext uri="{FF2B5EF4-FFF2-40B4-BE49-F238E27FC236}">
              <a16:creationId xmlns:a16="http://schemas.microsoft.com/office/drawing/2014/main" id="{00000000-0008-0000-0000-000007000000}"/>
            </a:ext>
          </a:extLst>
        </xdr:cNvPr>
        <xdr:cNvSpPr txBox="1"/>
      </xdr:nvSpPr>
      <xdr:spPr>
        <a:xfrm>
          <a:off x="8267700" y="4065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108" name="TextBox 1107">
          <a:extLst>
            <a:ext uri="{FF2B5EF4-FFF2-40B4-BE49-F238E27FC236}">
              <a16:creationId xmlns:a16="http://schemas.microsoft.com/office/drawing/2014/main" id="{00000000-0008-0000-0000-000007000000}"/>
            </a:ext>
          </a:extLst>
        </xdr:cNvPr>
        <xdr:cNvSpPr txBox="1"/>
      </xdr:nvSpPr>
      <xdr:spPr>
        <a:xfrm>
          <a:off x="8267700" y="4065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109" name="TextBox 1108">
          <a:extLst>
            <a:ext uri="{FF2B5EF4-FFF2-40B4-BE49-F238E27FC236}">
              <a16:creationId xmlns:a16="http://schemas.microsoft.com/office/drawing/2014/main" id="{00000000-0008-0000-0000-000007000000}"/>
            </a:ext>
          </a:extLst>
        </xdr:cNvPr>
        <xdr:cNvSpPr txBox="1"/>
      </xdr:nvSpPr>
      <xdr:spPr>
        <a:xfrm>
          <a:off x="8267700" y="40835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110" name="TextBox 1109">
          <a:extLst>
            <a:ext uri="{FF2B5EF4-FFF2-40B4-BE49-F238E27FC236}">
              <a16:creationId xmlns:a16="http://schemas.microsoft.com/office/drawing/2014/main" id="{00000000-0008-0000-0000-000007000000}"/>
            </a:ext>
          </a:extLst>
        </xdr:cNvPr>
        <xdr:cNvSpPr txBox="1"/>
      </xdr:nvSpPr>
      <xdr:spPr>
        <a:xfrm>
          <a:off x="8267700" y="40835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124</xdr:row>
      <xdr:rowOff>0</xdr:rowOff>
    </xdr:from>
    <xdr:ext cx="65" cy="172227"/>
    <xdr:sp macro="" textlink="">
      <xdr:nvSpPr>
        <xdr:cNvPr id="1111" name="TextBox 1110">
          <a:extLst>
            <a:ext uri="{FF2B5EF4-FFF2-40B4-BE49-F238E27FC236}">
              <a16:creationId xmlns:a16="http://schemas.microsoft.com/office/drawing/2014/main" id="{00000000-0008-0000-0000-000007000000}"/>
            </a:ext>
          </a:extLst>
        </xdr:cNvPr>
        <xdr:cNvSpPr txBox="1"/>
      </xdr:nvSpPr>
      <xdr:spPr>
        <a:xfrm>
          <a:off x="8267700" y="41018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124</xdr:row>
      <xdr:rowOff>0</xdr:rowOff>
    </xdr:from>
    <xdr:ext cx="65" cy="172227"/>
    <xdr:sp macro="" textlink="">
      <xdr:nvSpPr>
        <xdr:cNvPr id="1112" name="TextBox 1111">
          <a:extLst>
            <a:ext uri="{FF2B5EF4-FFF2-40B4-BE49-F238E27FC236}">
              <a16:creationId xmlns:a16="http://schemas.microsoft.com/office/drawing/2014/main" id="{00000000-0008-0000-0000-000007000000}"/>
            </a:ext>
          </a:extLst>
        </xdr:cNvPr>
        <xdr:cNvSpPr txBox="1"/>
      </xdr:nvSpPr>
      <xdr:spPr>
        <a:xfrm>
          <a:off x="8267700" y="41018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113" name="TextBox 1112">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114" name="TextBox 1113">
          <a:extLst>
            <a:ext uri="{FF2B5EF4-FFF2-40B4-BE49-F238E27FC236}">
              <a16:creationId xmlns:a16="http://schemas.microsoft.com/office/drawing/2014/main" id="{00000000-0008-0000-0000-000007000000}"/>
            </a:ext>
          </a:extLst>
        </xdr:cNvPr>
        <xdr:cNvSpPr txBox="1"/>
      </xdr:nvSpPr>
      <xdr:spPr>
        <a:xfrm>
          <a:off x="8267700" y="42115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115" name="TextBox 1114">
          <a:extLst>
            <a:ext uri="{FF2B5EF4-FFF2-40B4-BE49-F238E27FC236}">
              <a16:creationId xmlns:a16="http://schemas.microsoft.com/office/drawing/2014/main" id="{00000000-0008-0000-0000-000007000000}"/>
            </a:ext>
          </a:extLst>
        </xdr:cNvPr>
        <xdr:cNvSpPr txBox="1"/>
      </xdr:nvSpPr>
      <xdr:spPr>
        <a:xfrm>
          <a:off x="8267700" y="42298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116" name="TextBox 1115">
          <a:extLst>
            <a:ext uri="{FF2B5EF4-FFF2-40B4-BE49-F238E27FC236}">
              <a16:creationId xmlns:a16="http://schemas.microsoft.com/office/drawing/2014/main" id="{00000000-0008-0000-0000-000007000000}"/>
            </a:ext>
          </a:extLst>
        </xdr:cNvPr>
        <xdr:cNvSpPr txBox="1"/>
      </xdr:nvSpPr>
      <xdr:spPr>
        <a:xfrm>
          <a:off x="8267700" y="42298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117" name="TextBox 1116">
          <a:extLst>
            <a:ext uri="{FF2B5EF4-FFF2-40B4-BE49-F238E27FC236}">
              <a16:creationId xmlns:a16="http://schemas.microsoft.com/office/drawing/2014/main" id="{00000000-0008-0000-0000-000007000000}"/>
            </a:ext>
          </a:extLst>
        </xdr:cNvPr>
        <xdr:cNvSpPr txBox="1"/>
      </xdr:nvSpPr>
      <xdr:spPr>
        <a:xfrm>
          <a:off x="8267700" y="4248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118" name="TextBox 1117">
          <a:extLst>
            <a:ext uri="{FF2B5EF4-FFF2-40B4-BE49-F238E27FC236}">
              <a16:creationId xmlns:a16="http://schemas.microsoft.com/office/drawing/2014/main" id="{00000000-0008-0000-0000-000007000000}"/>
            </a:ext>
          </a:extLst>
        </xdr:cNvPr>
        <xdr:cNvSpPr txBox="1"/>
      </xdr:nvSpPr>
      <xdr:spPr>
        <a:xfrm>
          <a:off x="8267700" y="4248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119" name="TextBox 1118">
          <a:extLst>
            <a:ext uri="{FF2B5EF4-FFF2-40B4-BE49-F238E27FC236}">
              <a16:creationId xmlns:a16="http://schemas.microsoft.com/office/drawing/2014/main" id="{00000000-0008-0000-0000-000007000000}"/>
            </a:ext>
          </a:extLst>
        </xdr:cNvPr>
        <xdr:cNvSpPr txBox="1"/>
      </xdr:nvSpPr>
      <xdr:spPr>
        <a:xfrm>
          <a:off x="8267700" y="4266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120" name="TextBox 1119">
          <a:extLst>
            <a:ext uri="{FF2B5EF4-FFF2-40B4-BE49-F238E27FC236}">
              <a16:creationId xmlns:a16="http://schemas.microsoft.com/office/drawing/2014/main" id="{00000000-0008-0000-0000-000007000000}"/>
            </a:ext>
          </a:extLst>
        </xdr:cNvPr>
        <xdr:cNvSpPr txBox="1"/>
      </xdr:nvSpPr>
      <xdr:spPr>
        <a:xfrm>
          <a:off x="8267700" y="4266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134</xdr:row>
      <xdr:rowOff>0</xdr:rowOff>
    </xdr:from>
    <xdr:ext cx="65" cy="172227"/>
    <xdr:sp macro="" textlink="">
      <xdr:nvSpPr>
        <xdr:cNvPr id="1121" name="TextBox 1120">
          <a:extLst>
            <a:ext uri="{FF2B5EF4-FFF2-40B4-BE49-F238E27FC236}">
              <a16:creationId xmlns:a16="http://schemas.microsoft.com/office/drawing/2014/main" id="{00000000-0008-0000-0000-000007000000}"/>
            </a:ext>
          </a:extLst>
        </xdr:cNvPr>
        <xdr:cNvSpPr txBox="1"/>
      </xdr:nvSpPr>
      <xdr:spPr>
        <a:xfrm>
          <a:off x="8267700" y="42847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134</xdr:row>
      <xdr:rowOff>0</xdr:rowOff>
    </xdr:from>
    <xdr:ext cx="65" cy="172227"/>
    <xdr:sp macro="" textlink="">
      <xdr:nvSpPr>
        <xdr:cNvPr id="1122" name="TextBox 1121">
          <a:extLst>
            <a:ext uri="{FF2B5EF4-FFF2-40B4-BE49-F238E27FC236}">
              <a16:creationId xmlns:a16="http://schemas.microsoft.com/office/drawing/2014/main" id="{00000000-0008-0000-0000-000007000000}"/>
            </a:ext>
          </a:extLst>
        </xdr:cNvPr>
        <xdr:cNvSpPr txBox="1"/>
      </xdr:nvSpPr>
      <xdr:spPr>
        <a:xfrm>
          <a:off x="8267700" y="42847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123" name="TextBox 1122">
          <a:extLst>
            <a:ext uri="{FF2B5EF4-FFF2-40B4-BE49-F238E27FC236}">
              <a16:creationId xmlns:a16="http://schemas.microsoft.com/office/drawing/2014/main" id="{00000000-0008-0000-0000-000007000000}"/>
            </a:ext>
          </a:extLst>
        </xdr:cNvPr>
        <xdr:cNvSpPr txBox="1"/>
      </xdr:nvSpPr>
      <xdr:spPr>
        <a:xfrm>
          <a:off x="8267700" y="34206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124" name="TextBox 1123">
          <a:extLst>
            <a:ext uri="{FF2B5EF4-FFF2-40B4-BE49-F238E27FC236}">
              <a16:creationId xmlns:a16="http://schemas.microsoft.com/office/drawing/2014/main" id="{00000000-0008-0000-0000-000007000000}"/>
            </a:ext>
          </a:extLst>
        </xdr:cNvPr>
        <xdr:cNvSpPr txBox="1"/>
      </xdr:nvSpPr>
      <xdr:spPr>
        <a:xfrm>
          <a:off x="8267700" y="34206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25" name="TextBox 1124">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26" name="TextBox 1125">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127" name="TextBox 1126">
          <a:extLst>
            <a:ext uri="{FF2B5EF4-FFF2-40B4-BE49-F238E27FC236}">
              <a16:creationId xmlns:a16="http://schemas.microsoft.com/office/drawing/2014/main" id="{00000000-0008-0000-0000-000007000000}"/>
            </a:ext>
          </a:extLst>
        </xdr:cNvPr>
        <xdr:cNvSpPr txBox="1"/>
      </xdr:nvSpPr>
      <xdr:spPr>
        <a:xfrm>
          <a:off x="8267700" y="34602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128" name="TextBox 1127">
          <a:extLst>
            <a:ext uri="{FF2B5EF4-FFF2-40B4-BE49-F238E27FC236}">
              <a16:creationId xmlns:a16="http://schemas.microsoft.com/office/drawing/2014/main" id="{00000000-0008-0000-0000-000007000000}"/>
            </a:ext>
          </a:extLst>
        </xdr:cNvPr>
        <xdr:cNvSpPr txBox="1"/>
      </xdr:nvSpPr>
      <xdr:spPr>
        <a:xfrm>
          <a:off x="8267700" y="34602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129" name="TextBox 1128">
          <a:extLst>
            <a:ext uri="{FF2B5EF4-FFF2-40B4-BE49-F238E27FC236}">
              <a16:creationId xmlns:a16="http://schemas.microsoft.com/office/drawing/2014/main" id="{00000000-0008-0000-0000-000007000000}"/>
            </a:ext>
          </a:extLst>
        </xdr:cNvPr>
        <xdr:cNvSpPr txBox="1"/>
      </xdr:nvSpPr>
      <xdr:spPr>
        <a:xfrm>
          <a:off x="8267700" y="34602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130" name="TextBox 1129">
          <a:extLst>
            <a:ext uri="{FF2B5EF4-FFF2-40B4-BE49-F238E27FC236}">
              <a16:creationId xmlns:a16="http://schemas.microsoft.com/office/drawing/2014/main" id="{00000000-0008-0000-0000-000007000000}"/>
            </a:ext>
          </a:extLst>
        </xdr:cNvPr>
        <xdr:cNvSpPr txBox="1"/>
      </xdr:nvSpPr>
      <xdr:spPr>
        <a:xfrm>
          <a:off x="8267700" y="34602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131" name="TextBox 1130">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132" name="TextBox 1131">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133" name="TextBox 1132">
          <a:extLst>
            <a:ext uri="{FF2B5EF4-FFF2-40B4-BE49-F238E27FC236}">
              <a16:creationId xmlns:a16="http://schemas.microsoft.com/office/drawing/2014/main" id="{00000000-0008-0000-0000-000007000000}"/>
            </a:ext>
          </a:extLst>
        </xdr:cNvPr>
        <xdr:cNvSpPr txBox="1"/>
      </xdr:nvSpPr>
      <xdr:spPr>
        <a:xfrm>
          <a:off x="8267700" y="34206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134" name="TextBox 1133">
          <a:extLst>
            <a:ext uri="{FF2B5EF4-FFF2-40B4-BE49-F238E27FC236}">
              <a16:creationId xmlns:a16="http://schemas.microsoft.com/office/drawing/2014/main" id="{00000000-0008-0000-0000-000007000000}"/>
            </a:ext>
          </a:extLst>
        </xdr:cNvPr>
        <xdr:cNvSpPr txBox="1"/>
      </xdr:nvSpPr>
      <xdr:spPr>
        <a:xfrm>
          <a:off x="8267700" y="34206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135" name="TextBox 1134">
          <a:extLst>
            <a:ext uri="{FF2B5EF4-FFF2-40B4-BE49-F238E27FC236}">
              <a16:creationId xmlns:a16="http://schemas.microsoft.com/office/drawing/2014/main" id="{00000000-0008-0000-0000-000007000000}"/>
            </a:ext>
          </a:extLst>
        </xdr:cNvPr>
        <xdr:cNvSpPr txBox="1"/>
      </xdr:nvSpPr>
      <xdr:spPr>
        <a:xfrm>
          <a:off x="8267700" y="34206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136" name="TextBox 1135">
          <a:extLst>
            <a:ext uri="{FF2B5EF4-FFF2-40B4-BE49-F238E27FC236}">
              <a16:creationId xmlns:a16="http://schemas.microsoft.com/office/drawing/2014/main" id="{00000000-0008-0000-0000-000007000000}"/>
            </a:ext>
          </a:extLst>
        </xdr:cNvPr>
        <xdr:cNvSpPr txBox="1"/>
      </xdr:nvSpPr>
      <xdr:spPr>
        <a:xfrm>
          <a:off x="8267700" y="34206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37" name="TextBox 1136">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38" name="TextBox 1137">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39" name="TextBox 1138">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40" name="TextBox 1139">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41" name="TextBox 1140">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42" name="TextBox 1141">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43" name="TextBox 1142">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44" name="TextBox 1143">
          <a:extLst>
            <a:ext uri="{FF2B5EF4-FFF2-40B4-BE49-F238E27FC236}">
              <a16:creationId xmlns:a16="http://schemas.microsoft.com/office/drawing/2014/main" id="{00000000-0008-0000-0000-000007000000}"/>
            </a:ext>
          </a:extLst>
        </xdr:cNvPr>
        <xdr:cNvSpPr txBox="1"/>
      </xdr:nvSpPr>
      <xdr:spPr>
        <a:xfrm>
          <a:off x="8267700" y="3440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145" name="TextBox 1144">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146" name="TextBox 1145">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147" name="TextBox 1146">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148" name="TextBox 1147">
          <a:extLst>
            <a:ext uri="{FF2B5EF4-FFF2-40B4-BE49-F238E27FC236}">
              <a16:creationId xmlns:a16="http://schemas.microsoft.com/office/drawing/2014/main" id="{00000000-0008-0000-0000-000007000000}"/>
            </a:ext>
          </a:extLst>
        </xdr:cNvPr>
        <xdr:cNvSpPr txBox="1"/>
      </xdr:nvSpPr>
      <xdr:spPr>
        <a:xfrm>
          <a:off x="8267700" y="34008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1152" name="TextBox 1151">
          <a:extLst>
            <a:ext uri="{FF2B5EF4-FFF2-40B4-BE49-F238E27FC236}">
              <a16:creationId xmlns:a16="http://schemas.microsoft.com/office/drawing/2014/main" id="{00000000-0008-0000-0000-000007000000}"/>
            </a:ext>
          </a:extLst>
        </xdr:cNvPr>
        <xdr:cNvSpPr txBox="1"/>
      </xdr:nvSpPr>
      <xdr:spPr>
        <a:xfrm>
          <a:off x="8267700" y="33246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1156" name="TextBox 1155">
          <a:extLst>
            <a:ext uri="{FF2B5EF4-FFF2-40B4-BE49-F238E27FC236}">
              <a16:creationId xmlns:a16="http://schemas.microsoft.com/office/drawing/2014/main" id="{00000000-0008-0000-0000-000007000000}"/>
            </a:ext>
          </a:extLst>
        </xdr:cNvPr>
        <xdr:cNvSpPr txBox="1"/>
      </xdr:nvSpPr>
      <xdr:spPr>
        <a:xfrm>
          <a:off x="8267700" y="33246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157" name="TextBox 1156">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158" name="TextBox 1157">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159" name="TextBox 1158">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160" name="TextBox 1159">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161" name="TextBox 1160">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162" name="TextBox 1161">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63" name="TextBox 1162">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164" name="TextBox 1163">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165" name="TextBox 1164">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166" name="TextBox 1165">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167" name="TextBox 1166">
          <a:extLst>
            <a:ext uri="{FF2B5EF4-FFF2-40B4-BE49-F238E27FC236}">
              <a16:creationId xmlns:a16="http://schemas.microsoft.com/office/drawing/2014/main" id="{00000000-0008-0000-0000-000007000000}"/>
            </a:ext>
          </a:extLst>
        </xdr:cNvPr>
        <xdr:cNvSpPr txBox="1"/>
      </xdr:nvSpPr>
      <xdr:spPr>
        <a:xfrm>
          <a:off x="8267700" y="34419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168" name="TextBox 1167">
          <a:extLst>
            <a:ext uri="{FF2B5EF4-FFF2-40B4-BE49-F238E27FC236}">
              <a16:creationId xmlns:a16="http://schemas.microsoft.com/office/drawing/2014/main" id="{00000000-0008-0000-0000-000007000000}"/>
            </a:ext>
          </a:extLst>
        </xdr:cNvPr>
        <xdr:cNvSpPr txBox="1"/>
      </xdr:nvSpPr>
      <xdr:spPr>
        <a:xfrm>
          <a:off x="8267700" y="34419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169" name="TextBox 1168">
          <a:extLst>
            <a:ext uri="{FF2B5EF4-FFF2-40B4-BE49-F238E27FC236}">
              <a16:creationId xmlns:a16="http://schemas.microsoft.com/office/drawing/2014/main" id="{00000000-0008-0000-0000-000007000000}"/>
            </a:ext>
          </a:extLst>
        </xdr:cNvPr>
        <xdr:cNvSpPr txBox="1"/>
      </xdr:nvSpPr>
      <xdr:spPr>
        <a:xfrm>
          <a:off x="8267700" y="34602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170" name="TextBox 1169">
          <a:extLst>
            <a:ext uri="{FF2B5EF4-FFF2-40B4-BE49-F238E27FC236}">
              <a16:creationId xmlns:a16="http://schemas.microsoft.com/office/drawing/2014/main" id="{00000000-0008-0000-0000-000007000000}"/>
            </a:ext>
          </a:extLst>
        </xdr:cNvPr>
        <xdr:cNvSpPr txBox="1"/>
      </xdr:nvSpPr>
      <xdr:spPr>
        <a:xfrm>
          <a:off x="8267700" y="34602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1171" name="TextBox 1170">
          <a:extLst>
            <a:ext uri="{FF2B5EF4-FFF2-40B4-BE49-F238E27FC236}">
              <a16:creationId xmlns:a16="http://schemas.microsoft.com/office/drawing/2014/main" id="{00000000-0008-0000-0000-000007000000}"/>
            </a:ext>
          </a:extLst>
        </xdr:cNvPr>
        <xdr:cNvSpPr txBox="1"/>
      </xdr:nvSpPr>
      <xdr:spPr>
        <a:xfrm>
          <a:off x="8267700" y="3478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1172" name="TextBox 1171">
          <a:extLst>
            <a:ext uri="{FF2B5EF4-FFF2-40B4-BE49-F238E27FC236}">
              <a16:creationId xmlns:a16="http://schemas.microsoft.com/office/drawing/2014/main" id="{00000000-0008-0000-0000-000007000000}"/>
            </a:ext>
          </a:extLst>
        </xdr:cNvPr>
        <xdr:cNvSpPr txBox="1"/>
      </xdr:nvSpPr>
      <xdr:spPr>
        <a:xfrm>
          <a:off x="8267700" y="3478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1173" name="TextBox 1172">
          <a:extLst>
            <a:ext uri="{FF2B5EF4-FFF2-40B4-BE49-F238E27FC236}">
              <a16:creationId xmlns:a16="http://schemas.microsoft.com/office/drawing/2014/main" id="{00000000-0008-0000-0000-000007000000}"/>
            </a:ext>
          </a:extLst>
        </xdr:cNvPr>
        <xdr:cNvSpPr txBox="1"/>
      </xdr:nvSpPr>
      <xdr:spPr>
        <a:xfrm>
          <a:off x="8267700" y="34968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1174" name="TextBox 1173">
          <a:extLst>
            <a:ext uri="{FF2B5EF4-FFF2-40B4-BE49-F238E27FC236}">
              <a16:creationId xmlns:a16="http://schemas.microsoft.com/office/drawing/2014/main" id="{00000000-0008-0000-0000-000007000000}"/>
            </a:ext>
          </a:extLst>
        </xdr:cNvPr>
        <xdr:cNvSpPr txBox="1"/>
      </xdr:nvSpPr>
      <xdr:spPr>
        <a:xfrm>
          <a:off x="8267700" y="34968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1175" name="TextBox 1174">
          <a:extLst>
            <a:ext uri="{FF2B5EF4-FFF2-40B4-BE49-F238E27FC236}">
              <a16:creationId xmlns:a16="http://schemas.microsoft.com/office/drawing/2014/main" id="{00000000-0008-0000-0000-000007000000}"/>
            </a:ext>
          </a:extLst>
        </xdr:cNvPr>
        <xdr:cNvSpPr txBox="1"/>
      </xdr:nvSpPr>
      <xdr:spPr>
        <a:xfrm>
          <a:off x="8267700" y="36065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1176" name="TextBox 1175">
          <a:extLst>
            <a:ext uri="{FF2B5EF4-FFF2-40B4-BE49-F238E27FC236}">
              <a16:creationId xmlns:a16="http://schemas.microsoft.com/office/drawing/2014/main" id="{00000000-0008-0000-0000-000007000000}"/>
            </a:ext>
          </a:extLst>
        </xdr:cNvPr>
        <xdr:cNvSpPr txBox="1"/>
      </xdr:nvSpPr>
      <xdr:spPr>
        <a:xfrm>
          <a:off x="8267700" y="36065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177" name="TextBox 1176">
          <a:extLst>
            <a:ext uri="{FF2B5EF4-FFF2-40B4-BE49-F238E27FC236}">
              <a16:creationId xmlns:a16="http://schemas.microsoft.com/office/drawing/2014/main" id="{00000000-0008-0000-0000-000007000000}"/>
            </a:ext>
          </a:extLst>
        </xdr:cNvPr>
        <xdr:cNvSpPr txBox="1"/>
      </xdr:nvSpPr>
      <xdr:spPr>
        <a:xfrm>
          <a:off x="8267700" y="36248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178" name="TextBox 1177">
          <a:extLst>
            <a:ext uri="{FF2B5EF4-FFF2-40B4-BE49-F238E27FC236}">
              <a16:creationId xmlns:a16="http://schemas.microsoft.com/office/drawing/2014/main" id="{00000000-0008-0000-0000-000007000000}"/>
            </a:ext>
          </a:extLst>
        </xdr:cNvPr>
        <xdr:cNvSpPr txBox="1"/>
      </xdr:nvSpPr>
      <xdr:spPr>
        <a:xfrm>
          <a:off x="8267700" y="36248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179" name="TextBox 1178">
          <a:extLst>
            <a:ext uri="{FF2B5EF4-FFF2-40B4-BE49-F238E27FC236}">
              <a16:creationId xmlns:a16="http://schemas.microsoft.com/office/drawing/2014/main" id="{00000000-0008-0000-0000-000007000000}"/>
            </a:ext>
          </a:extLst>
        </xdr:cNvPr>
        <xdr:cNvSpPr txBox="1"/>
      </xdr:nvSpPr>
      <xdr:spPr>
        <a:xfrm>
          <a:off x="8267700" y="36431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180" name="TextBox 1179">
          <a:extLst>
            <a:ext uri="{FF2B5EF4-FFF2-40B4-BE49-F238E27FC236}">
              <a16:creationId xmlns:a16="http://schemas.microsoft.com/office/drawing/2014/main" id="{00000000-0008-0000-0000-000007000000}"/>
            </a:ext>
          </a:extLst>
        </xdr:cNvPr>
        <xdr:cNvSpPr txBox="1"/>
      </xdr:nvSpPr>
      <xdr:spPr>
        <a:xfrm>
          <a:off x="8267700" y="36431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181" name="TextBox 1180">
          <a:extLst>
            <a:ext uri="{FF2B5EF4-FFF2-40B4-BE49-F238E27FC236}">
              <a16:creationId xmlns:a16="http://schemas.microsoft.com/office/drawing/2014/main" id="{00000000-0008-0000-0000-000007000000}"/>
            </a:ext>
          </a:extLst>
        </xdr:cNvPr>
        <xdr:cNvSpPr txBox="1"/>
      </xdr:nvSpPr>
      <xdr:spPr>
        <a:xfrm>
          <a:off x="8267700" y="36614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182" name="TextBox 1181">
          <a:extLst>
            <a:ext uri="{FF2B5EF4-FFF2-40B4-BE49-F238E27FC236}">
              <a16:creationId xmlns:a16="http://schemas.microsoft.com/office/drawing/2014/main" id="{00000000-0008-0000-0000-000007000000}"/>
            </a:ext>
          </a:extLst>
        </xdr:cNvPr>
        <xdr:cNvSpPr txBox="1"/>
      </xdr:nvSpPr>
      <xdr:spPr>
        <a:xfrm>
          <a:off x="8267700" y="36614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183" name="TextBox 1182">
          <a:extLst>
            <a:ext uri="{FF2B5EF4-FFF2-40B4-BE49-F238E27FC236}">
              <a16:creationId xmlns:a16="http://schemas.microsoft.com/office/drawing/2014/main" id="{00000000-0008-0000-0000-000007000000}"/>
            </a:ext>
          </a:extLst>
        </xdr:cNvPr>
        <xdr:cNvSpPr txBox="1"/>
      </xdr:nvSpPr>
      <xdr:spPr>
        <a:xfrm>
          <a:off x="8267700" y="36796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184" name="TextBox 1183">
          <a:extLst>
            <a:ext uri="{FF2B5EF4-FFF2-40B4-BE49-F238E27FC236}">
              <a16:creationId xmlns:a16="http://schemas.microsoft.com/office/drawing/2014/main" id="{00000000-0008-0000-0000-000007000000}"/>
            </a:ext>
          </a:extLst>
        </xdr:cNvPr>
        <xdr:cNvSpPr txBox="1"/>
      </xdr:nvSpPr>
      <xdr:spPr>
        <a:xfrm>
          <a:off x="8267700" y="36796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1185" name="TextBox 1184">
          <a:extLst>
            <a:ext uri="{FF2B5EF4-FFF2-40B4-BE49-F238E27FC236}">
              <a16:creationId xmlns:a16="http://schemas.microsoft.com/office/drawing/2014/main" id="{00000000-0008-0000-0000-000007000000}"/>
            </a:ext>
          </a:extLst>
        </xdr:cNvPr>
        <xdr:cNvSpPr txBox="1"/>
      </xdr:nvSpPr>
      <xdr:spPr>
        <a:xfrm>
          <a:off x="8267700" y="3789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1186" name="TextBox 1185">
          <a:extLst>
            <a:ext uri="{FF2B5EF4-FFF2-40B4-BE49-F238E27FC236}">
              <a16:creationId xmlns:a16="http://schemas.microsoft.com/office/drawing/2014/main" id="{00000000-0008-0000-0000-000007000000}"/>
            </a:ext>
          </a:extLst>
        </xdr:cNvPr>
        <xdr:cNvSpPr txBox="1"/>
      </xdr:nvSpPr>
      <xdr:spPr>
        <a:xfrm>
          <a:off x="8267700" y="3789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187" name="TextBox 1186">
          <a:extLst>
            <a:ext uri="{FF2B5EF4-FFF2-40B4-BE49-F238E27FC236}">
              <a16:creationId xmlns:a16="http://schemas.microsoft.com/office/drawing/2014/main" id="{00000000-0008-0000-0000-000007000000}"/>
            </a:ext>
          </a:extLst>
        </xdr:cNvPr>
        <xdr:cNvSpPr txBox="1"/>
      </xdr:nvSpPr>
      <xdr:spPr>
        <a:xfrm>
          <a:off x="8267700" y="3807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188" name="TextBox 1187">
          <a:extLst>
            <a:ext uri="{FF2B5EF4-FFF2-40B4-BE49-F238E27FC236}">
              <a16:creationId xmlns:a16="http://schemas.microsoft.com/office/drawing/2014/main" id="{00000000-0008-0000-0000-000007000000}"/>
            </a:ext>
          </a:extLst>
        </xdr:cNvPr>
        <xdr:cNvSpPr txBox="1"/>
      </xdr:nvSpPr>
      <xdr:spPr>
        <a:xfrm>
          <a:off x="8267700" y="3807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189" name="TextBox 1188">
          <a:extLst>
            <a:ext uri="{FF2B5EF4-FFF2-40B4-BE49-F238E27FC236}">
              <a16:creationId xmlns:a16="http://schemas.microsoft.com/office/drawing/2014/main" id="{00000000-0008-0000-0000-000007000000}"/>
            </a:ext>
          </a:extLst>
        </xdr:cNvPr>
        <xdr:cNvSpPr txBox="1"/>
      </xdr:nvSpPr>
      <xdr:spPr>
        <a:xfrm>
          <a:off x="8267700" y="3826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190" name="TextBox 1189">
          <a:extLst>
            <a:ext uri="{FF2B5EF4-FFF2-40B4-BE49-F238E27FC236}">
              <a16:creationId xmlns:a16="http://schemas.microsoft.com/office/drawing/2014/main" id="{00000000-0008-0000-0000-000007000000}"/>
            </a:ext>
          </a:extLst>
        </xdr:cNvPr>
        <xdr:cNvSpPr txBox="1"/>
      </xdr:nvSpPr>
      <xdr:spPr>
        <a:xfrm>
          <a:off x="8267700" y="3826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191" name="TextBox 1190">
          <a:extLst>
            <a:ext uri="{FF2B5EF4-FFF2-40B4-BE49-F238E27FC236}">
              <a16:creationId xmlns:a16="http://schemas.microsoft.com/office/drawing/2014/main" id="{00000000-0008-0000-0000-000007000000}"/>
            </a:ext>
          </a:extLst>
        </xdr:cNvPr>
        <xdr:cNvSpPr txBox="1"/>
      </xdr:nvSpPr>
      <xdr:spPr>
        <a:xfrm>
          <a:off x="8267700" y="3844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192" name="TextBox 1191">
          <a:extLst>
            <a:ext uri="{FF2B5EF4-FFF2-40B4-BE49-F238E27FC236}">
              <a16:creationId xmlns:a16="http://schemas.microsoft.com/office/drawing/2014/main" id="{00000000-0008-0000-0000-000007000000}"/>
            </a:ext>
          </a:extLst>
        </xdr:cNvPr>
        <xdr:cNvSpPr txBox="1"/>
      </xdr:nvSpPr>
      <xdr:spPr>
        <a:xfrm>
          <a:off x="8267700" y="3844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193" name="TextBox 1192">
          <a:extLst>
            <a:ext uri="{FF2B5EF4-FFF2-40B4-BE49-F238E27FC236}">
              <a16:creationId xmlns:a16="http://schemas.microsoft.com/office/drawing/2014/main" id="{00000000-0008-0000-0000-000007000000}"/>
            </a:ext>
          </a:extLst>
        </xdr:cNvPr>
        <xdr:cNvSpPr txBox="1"/>
      </xdr:nvSpPr>
      <xdr:spPr>
        <a:xfrm>
          <a:off x="8267700" y="3862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194" name="TextBox 1193">
          <a:extLst>
            <a:ext uri="{FF2B5EF4-FFF2-40B4-BE49-F238E27FC236}">
              <a16:creationId xmlns:a16="http://schemas.microsoft.com/office/drawing/2014/main" id="{00000000-0008-0000-0000-000007000000}"/>
            </a:ext>
          </a:extLst>
        </xdr:cNvPr>
        <xdr:cNvSpPr txBox="1"/>
      </xdr:nvSpPr>
      <xdr:spPr>
        <a:xfrm>
          <a:off x="8267700" y="3862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195" name="TextBox 1194">
          <a:extLst>
            <a:ext uri="{FF2B5EF4-FFF2-40B4-BE49-F238E27FC236}">
              <a16:creationId xmlns:a16="http://schemas.microsoft.com/office/drawing/2014/main" id="{00000000-0008-0000-0000-000007000000}"/>
            </a:ext>
          </a:extLst>
        </xdr:cNvPr>
        <xdr:cNvSpPr txBox="1"/>
      </xdr:nvSpPr>
      <xdr:spPr>
        <a:xfrm>
          <a:off x="8267700" y="39723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196" name="TextBox 1195">
          <a:extLst>
            <a:ext uri="{FF2B5EF4-FFF2-40B4-BE49-F238E27FC236}">
              <a16:creationId xmlns:a16="http://schemas.microsoft.com/office/drawing/2014/main" id="{00000000-0008-0000-0000-000007000000}"/>
            </a:ext>
          </a:extLst>
        </xdr:cNvPr>
        <xdr:cNvSpPr txBox="1"/>
      </xdr:nvSpPr>
      <xdr:spPr>
        <a:xfrm>
          <a:off x="8267700" y="39723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197" name="TextBox 1196">
          <a:extLst>
            <a:ext uri="{FF2B5EF4-FFF2-40B4-BE49-F238E27FC236}">
              <a16:creationId xmlns:a16="http://schemas.microsoft.com/office/drawing/2014/main" id="{00000000-0008-0000-0000-000007000000}"/>
            </a:ext>
          </a:extLst>
        </xdr:cNvPr>
        <xdr:cNvSpPr txBox="1"/>
      </xdr:nvSpPr>
      <xdr:spPr>
        <a:xfrm>
          <a:off x="8267700" y="39905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198" name="TextBox 1197">
          <a:extLst>
            <a:ext uri="{FF2B5EF4-FFF2-40B4-BE49-F238E27FC236}">
              <a16:creationId xmlns:a16="http://schemas.microsoft.com/office/drawing/2014/main" id="{00000000-0008-0000-0000-000007000000}"/>
            </a:ext>
          </a:extLst>
        </xdr:cNvPr>
        <xdr:cNvSpPr txBox="1"/>
      </xdr:nvSpPr>
      <xdr:spPr>
        <a:xfrm>
          <a:off x="8267700" y="39905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199" name="TextBox 1198">
          <a:extLst>
            <a:ext uri="{FF2B5EF4-FFF2-40B4-BE49-F238E27FC236}">
              <a16:creationId xmlns:a16="http://schemas.microsoft.com/office/drawing/2014/main" id="{00000000-0008-0000-0000-000007000000}"/>
            </a:ext>
          </a:extLst>
        </xdr:cNvPr>
        <xdr:cNvSpPr txBox="1"/>
      </xdr:nvSpPr>
      <xdr:spPr>
        <a:xfrm>
          <a:off x="8267700" y="40088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200" name="TextBox 1199">
          <a:extLst>
            <a:ext uri="{FF2B5EF4-FFF2-40B4-BE49-F238E27FC236}">
              <a16:creationId xmlns:a16="http://schemas.microsoft.com/office/drawing/2014/main" id="{00000000-0008-0000-0000-000007000000}"/>
            </a:ext>
          </a:extLst>
        </xdr:cNvPr>
        <xdr:cNvSpPr txBox="1"/>
      </xdr:nvSpPr>
      <xdr:spPr>
        <a:xfrm>
          <a:off x="8267700" y="40088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201" name="TextBox 1200">
          <a:extLst>
            <a:ext uri="{FF2B5EF4-FFF2-40B4-BE49-F238E27FC236}">
              <a16:creationId xmlns:a16="http://schemas.microsoft.com/office/drawing/2014/main" id="{00000000-0008-0000-0000-000007000000}"/>
            </a:ext>
          </a:extLst>
        </xdr:cNvPr>
        <xdr:cNvSpPr txBox="1"/>
      </xdr:nvSpPr>
      <xdr:spPr>
        <a:xfrm>
          <a:off x="8267700" y="40271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202" name="TextBox 1201">
          <a:extLst>
            <a:ext uri="{FF2B5EF4-FFF2-40B4-BE49-F238E27FC236}">
              <a16:creationId xmlns:a16="http://schemas.microsoft.com/office/drawing/2014/main" id="{00000000-0008-0000-0000-000007000000}"/>
            </a:ext>
          </a:extLst>
        </xdr:cNvPr>
        <xdr:cNvSpPr txBox="1"/>
      </xdr:nvSpPr>
      <xdr:spPr>
        <a:xfrm>
          <a:off x="8267700" y="40271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203" name="TextBox 1202">
          <a:extLst>
            <a:ext uri="{FF2B5EF4-FFF2-40B4-BE49-F238E27FC236}">
              <a16:creationId xmlns:a16="http://schemas.microsoft.com/office/drawing/2014/main" id="{00000000-0008-0000-0000-000007000000}"/>
            </a:ext>
          </a:extLst>
        </xdr:cNvPr>
        <xdr:cNvSpPr txBox="1"/>
      </xdr:nvSpPr>
      <xdr:spPr>
        <a:xfrm>
          <a:off x="8267700" y="4045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204" name="TextBox 1203">
          <a:extLst>
            <a:ext uri="{FF2B5EF4-FFF2-40B4-BE49-F238E27FC236}">
              <a16:creationId xmlns:a16="http://schemas.microsoft.com/office/drawing/2014/main" id="{00000000-0008-0000-0000-000007000000}"/>
            </a:ext>
          </a:extLst>
        </xdr:cNvPr>
        <xdr:cNvSpPr txBox="1"/>
      </xdr:nvSpPr>
      <xdr:spPr>
        <a:xfrm>
          <a:off x="8267700" y="4045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205" name="TextBox 1204">
          <a:extLst>
            <a:ext uri="{FF2B5EF4-FFF2-40B4-BE49-F238E27FC236}">
              <a16:creationId xmlns:a16="http://schemas.microsoft.com/office/drawing/2014/main" id="{00000000-0008-0000-0000-000007000000}"/>
            </a:ext>
          </a:extLst>
        </xdr:cNvPr>
        <xdr:cNvSpPr txBox="1"/>
      </xdr:nvSpPr>
      <xdr:spPr>
        <a:xfrm>
          <a:off x="8267700" y="41551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206" name="TextBox 1205">
          <a:extLst>
            <a:ext uri="{FF2B5EF4-FFF2-40B4-BE49-F238E27FC236}">
              <a16:creationId xmlns:a16="http://schemas.microsoft.com/office/drawing/2014/main" id="{00000000-0008-0000-0000-000007000000}"/>
            </a:ext>
          </a:extLst>
        </xdr:cNvPr>
        <xdr:cNvSpPr txBox="1"/>
      </xdr:nvSpPr>
      <xdr:spPr>
        <a:xfrm>
          <a:off x="8267700" y="41551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207" name="TextBox 1206">
          <a:extLst>
            <a:ext uri="{FF2B5EF4-FFF2-40B4-BE49-F238E27FC236}">
              <a16:creationId xmlns:a16="http://schemas.microsoft.com/office/drawing/2014/main" id="{00000000-0008-0000-0000-000007000000}"/>
            </a:ext>
          </a:extLst>
        </xdr:cNvPr>
        <xdr:cNvSpPr txBox="1"/>
      </xdr:nvSpPr>
      <xdr:spPr>
        <a:xfrm>
          <a:off x="8267700" y="4173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208" name="TextBox 1207">
          <a:extLst>
            <a:ext uri="{FF2B5EF4-FFF2-40B4-BE49-F238E27FC236}">
              <a16:creationId xmlns:a16="http://schemas.microsoft.com/office/drawing/2014/main" id="{00000000-0008-0000-0000-000007000000}"/>
            </a:ext>
          </a:extLst>
        </xdr:cNvPr>
        <xdr:cNvSpPr txBox="1"/>
      </xdr:nvSpPr>
      <xdr:spPr>
        <a:xfrm>
          <a:off x="8267700" y="4173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209" name="TextBox 1208">
          <a:extLst>
            <a:ext uri="{FF2B5EF4-FFF2-40B4-BE49-F238E27FC236}">
              <a16:creationId xmlns:a16="http://schemas.microsoft.com/office/drawing/2014/main" id="{00000000-0008-0000-0000-000007000000}"/>
            </a:ext>
          </a:extLst>
        </xdr:cNvPr>
        <xdr:cNvSpPr txBox="1"/>
      </xdr:nvSpPr>
      <xdr:spPr>
        <a:xfrm>
          <a:off x="8267700" y="41917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210" name="TextBox 1209">
          <a:extLst>
            <a:ext uri="{FF2B5EF4-FFF2-40B4-BE49-F238E27FC236}">
              <a16:creationId xmlns:a16="http://schemas.microsoft.com/office/drawing/2014/main" id="{00000000-0008-0000-0000-000007000000}"/>
            </a:ext>
          </a:extLst>
        </xdr:cNvPr>
        <xdr:cNvSpPr txBox="1"/>
      </xdr:nvSpPr>
      <xdr:spPr>
        <a:xfrm>
          <a:off x="8267700" y="41917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211" name="TextBox 1210">
          <a:extLst>
            <a:ext uri="{FF2B5EF4-FFF2-40B4-BE49-F238E27FC236}">
              <a16:creationId xmlns:a16="http://schemas.microsoft.com/office/drawing/2014/main" id="{00000000-0008-0000-0000-000007000000}"/>
            </a:ext>
          </a:extLst>
        </xdr:cNvPr>
        <xdr:cNvSpPr txBox="1"/>
      </xdr:nvSpPr>
      <xdr:spPr>
        <a:xfrm>
          <a:off x="8267700" y="4210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212" name="TextBox 1211">
          <a:extLst>
            <a:ext uri="{FF2B5EF4-FFF2-40B4-BE49-F238E27FC236}">
              <a16:creationId xmlns:a16="http://schemas.microsoft.com/office/drawing/2014/main" id="{00000000-0008-0000-0000-000007000000}"/>
            </a:ext>
          </a:extLst>
        </xdr:cNvPr>
        <xdr:cNvSpPr txBox="1"/>
      </xdr:nvSpPr>
      <xdr:spPr>
        <a:xfrm>
          <a:off x="8267700" y="4210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213" name="TextBox 1212">
          <a:extLst>
            <a:ext uri="{FF2B5EF4-FFF2-40B4-BE49-F238E27FC236}">
              <a16:creationId xmlns:a16="http://schemas.microsoft.com/office/drawing/2014/main" id="{00000000-0008-0000-0000-000007000000}"/>
            </a:ext>
          </a:extLst>
        </xdr:cNvPr>
        <xdr:cNvSpPr txBox="1"/>
      </xdr:nvSpPr>
      <xdr:spPr>
        <a:xfrm>
          <a:off x="8267700" y="4228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214" name="TextBox 1213">
          <a:extLst>
            <a:ext uri="{FF2B5EF4-FFF2-40B4-BE49-F238E27FC236}">
              <a16:creationId xmlns:a16="http://schemas.microsoft.com/office/drawing/2014/main" id="{00000000-0008-0000-0000-000007000000}"/>
            </a:ext>
          </a:extLst>
        </xdr:cNvPr>
        <xdr:cNvSpPr txBox="1"/>
      </xdr:nvSpPr>
      <xdr:spPr>
        <a:xfrm>
          <a:off x="8267700" y="4228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215" name="TextBox 1214">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216" name="TextBox 1215">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17" name="TextBox 1216">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18" name="TextBox 1217">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219" name="TextBox 1218">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220" name="TextBox 1219">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221" name="TextBox 1220">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222" name="TextBox 1221">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223" name="TextBox 1222">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224" name="TextBox 1223">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225" name="TextBox 1224">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226" name="TextBox 1225">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227" name="TextBox 1226">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228" name="TextBox 1227">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29" name="TextBox 1228">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30" name="TextBox 1229">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31" name="TextBox 1230">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32" name="TextBox 1231">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33" name="TextBox 1232">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34" name="TextBox 1233">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35" name="TextBox 1234">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36" name="TextBox 1235">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237" name="TextBox 1236">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238" name="TextBox 1237">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239" name="TextBox 1238">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240" name="TextBox 1239">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1153" name="TextBox 1152">
          <a:extLst>
            <a:ext uri="{FF2B5EF4-FFF2-40B4-BE49-F238E27FC236}">
              <a16:creationId xmlns:a16="http://schemas.microsoft.com/office/drawing/2014/main" id="{00000000-0008-0000-0000-000007000000}"/>
            </a:ext>
          </a:extLst>
        </xdr:cNvPr>
        <xdr:cNvSpPr txBox="1"/>
      </xdr:nvSpPr>
      <xdr:spPr>
        <a:xfrm>
          <a:off x="8267700" y="33246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1246" name="TextBox 1245">
          <a:extLst>
            <a:ext uri="{FF2B5EF4-FFF2-40B4-BE49-F238E27FC236}">
              <a16:creationId xmlns:a16="http://schemas.microsoft.com/office/drawing/2014/main" id="{00000000-0008-0000-0000-000007000000}"/>
            </a:ext>
          </a:extLst>
        </xdr:cNvPr>
        <xdr:cNvSpPr txBox="1"/>
      </xdr:nvSpPr>
      <xdr:spPr>
        <a:xfrm>
          <a:off x="8267700" y="33246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247" name="TextBox 1246">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248" name="TextBox 1247">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249" name="TextBox 1248">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250" name="TextBox 1249">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51" name="TextBox 1250">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252" name="TextBox 1251">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253" name="TextBox 1252">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254" name="TextBox 1253">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255" name="TextBox 1254">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256" name="TextBox 1255">
          <a:extLst>
            <a:ext uri="{FF2B5EF4-FFF2-40B4-BE49-F238E27FC236}">
              <a16:creationId xmlns:a16="http://schemas.microsoft.com/office/drawing/2014/main" id="{00000000-0008-0000-0000-000007000000}"/>
            </a:ext>
          </a:extLst>
        </xdr:cNvPr>
        <xdr:cNvSpPr txBox="1"/>
      </xdr:nvSpPr>
      <xdr:spPr>
        <a:xfrm>
          <a:off x="8267700" y="34236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257" name="TextBox 1256">
          <a:extLst>
            <a:ext uri="{FF2B5EF4-FFF2-40B4-BE49-F238E27FC236}">
              <a16:creationId xmlns:a16="http://schemas.microsoft.com/office/drawing/2014/main" id="{00000000-0008-0000-0000-000007000000}"/>
            </a:ext>
          </a:extLst>
        </xdr:cNvPr>
        <xdr:cNvSpPr txBox="1"/>
      </xdr:nvSpPr>
      <xdr:spPr>
        <a:xfrm>
          <a:off x="8267700" y="34419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258" name="TextBox 1257">
          <a:extLst>
            <a:ext uri="{FF2B5EF4-FFF2-40B4-BE49-F238E27FC236}">
              <a16:creationId xmlns:a16="http://schemas.microsoft.com/office/drawing/2014/main" id="{00000000-0008-0000-0000-000007000000}"/>
            </a:ext>
          </a:extLst>
        </xdr:cNvPr>
        <xdr:cNvSpPr txBox="1"/>
      </xdr:nvSpPr>
      <xdr:spPr>
        <a:xfrm>
          <a:off x="8267700" y="34419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259" name="TextBox 1258">
          <a:extLst>
            <a:ext uri="{FF2B5EF4-FFF2-40B4-BE49-F238E27FC236}">
              <a16:creationId xmlns:a16="http://schemas.microsoft.com/office/drawing/2014/main" id="{00000000-0008-0000-0000-000007000000}"/>
            </a:ext>
          </a:extLst>
        </xdr:cNvPr>
        <xdr:cNvSpPr txBox="1"/>
      </xdr:nvSpPr>
      <xdr:spPr>
        <a:xfrm>
          <a:off x="8267700" y="34602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260" name="TextBox 1259">
          <a:extLst>
            <a:ext uri="{FF2B5EF4-FFF2-40B4-BE49-F238E27FC236}">
              <a16:creationId xmlns:a16="http://schemas.microsoft.com/office/drawing/2014/main" id="{00000000-0008-0000-0000-000007000000}"/>
            </a:ext>
          </a:extLst>
        </xdr:cNvPr>
        <xdr:cNvSpPr txBox="1"/>
      </xdr:nvSpPr>
      <xdr:spPr>
        <a:xfrm>
          <a:off x="8267700" y="34602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1261" name="TextBox 1260">
          <a:extLst>
            <a:ext uri="{FF2B5EF4-FFF2-40B4-BE49-F238E27FC236}">
              <a16:creationId xmlns:a16="http://schemas.microsoft.com/office/drawing/2014/main" id="{00000000-0008-0000-0000-000007000000}"/>
            </a:ext>
          </a:extLst>
        </xdr:cNvPr>
        <xdr:cNvSpPr txBox="1"/>
      </xdr:nvSpPr>
      <xdr:spPr>
        <a:xfrm>
          <a:off x="8267700" y="3478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1262" name="TextBox 1261">
          <a:extLst>
            <a:ext uri="{FF2B5EF4-FFF2-40B4-BE49-F238E27FC236}">
              <a16:creationId xmlns:a16="http://schemas.microsoft.com/office/drawing/2014/main" id="{00000000-0008-0000-0000-000007000000}"/>
            </a:ext>
          </a:extLst>
        </xdr:cNvPr>
        <xdr:cNvSpPr txBox="1"/>
      </xdr:nvSpPr>
      <xdr:spPr>
        <a:xfrm>
          <a:off x="8267700" y="3478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1263" name="TextBox 1262">
          <a:extLst>
            <a:ext uri="{FF2B5EF4-FFF2-40B4-BE49-F238E27FC236}">
              <a16:creationId xmlns:a16="http://schemas.microsoft.com/office/drawing/2014/main" id="{00000000-0008-0000-0000-000007000000}"/>
            </a:ext>
          </a:extLst>
        </xdr:cNvPr>
        <xdr:cNvSpPr txBox="1"/>
      </xdr:nvSpPr>
      <xdr:spPr>
        <a:xfrm>
          <a:off x="8267700" y="34968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1264" name="TextBox 1263">
          <a:extLst>
            <a:ext uri="{FF2B5EF4-FFF2-40B4-BE49-F238E27FC236}">
              <a16:creationId xmlns:a16="http://schemas.microsoft.com/office/drawing/2014/main" id="{00000000-0008-0000-0000-000007000000}"/>
            </a:ext>
          </a:extLst>
        </xdr:cNvPr>
        <xdr:cNvSpPr txBox="1"/>
      </xdr:nvSpPr>
      <xdr:spPr>
        <a:xfrm>
          <a:off x="8267700" y="34968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1265" name="TextBox 1264">
          <a:extLst>
            <a:ext uri="{FF2B5EF4-FFF2-40B4-BE49-F238E27FC236}">
              <a16:creationId xmlns:a16="http://schemas.microsoft.com/office/drawing/2014/main" id="{00000000-0008-0000-0000-000007000000}"/>
            </a:ext>
          </a:extLst>
        </xdr:cNvPr>
        <xdr:cNvSpPr txBox="1"/>
      </xdr:nvSpPr>
      <xdr:spPr>
        <a:xfrm>
          <a:off x="8267700" y="36065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1266" name="TextBox 1265">
          <a:extLst>
            <a:ext uri="{FF2B5EF4-FFF2-40B4-BE49-F238E27FC236}">
              <a16:creationId xmlns:a16="http://schemas.microsoft.com/office/drawing/2014/main" id="{00000000-0008-0000-0000-000007000000}"/>
            </a:ext>
          </a:extLst>
        </xdr:cNvPr>
        <xdr:cNvSpPr txBox="1"/>
      </xdr:nvSpPr>
      <xdr:spPr>
        <a:xfrm>
          <a:off x="8267700" y="36065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267" name="TextBox 1266">
          <a:extLst>
            <a:ext uri="{FF2B5EF4-FFF2-40B4-BE49-F238E27FC236}">
              <a16:creationId xmlns:a16="http://schemas.microsoft.com/office/drawing/2014/main" id="{00000000-0008-0000-0000-000007000000}"/>
            </a:ext>
          </a:extLst>
        </xdr:cNvPr>
        <xdr:cNvSpPr txBox="1"/>
      </xdr:nvSpPr>
      <xdr:spPr>
        <a:xfrm>
          <a:off x="8267700" y="36248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268" name="TextBox 1267">
          <a:extLst>
            <a:ext uri="{FF2B5EF4-FFF2-40B4-BE49-F238E27FC236}">
              <a16:creationId xmlns:a16="http://schemas.microsoft.com/office/drawing/2014/main" id="{00000000-0008-0000-0000-000007000000}"/>
            </a:ext>
          </a:extLst>
        </xdr:cNvPr>
        <xdr:cNvSpPr txBox="1"/>
      </xdr:nvSpPr>
      <xdr:spPr>
        <a:xfrm>
          <a:off x="8267700" y="36248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269" name="TextBox 1268">
          <a:extLst>
            <a:ext uri="{FF2B5EF4-FFF2-40B4-BE49-F238E27FC236}">
              <a16:creationId xmlns:a16="http://schemas.microsoft.com/office/drawing/2014/main" id="{00000000-0008-0000-0000-000007000000}"/>
            </a:ext>
          </a:extLst>
        </xdr:cNvPr>
        <xdr:cNvSpPr txBox="1"/>
      </xdr:nvSpPr>
      <xdr:spPr>
        <a:xfrm>
          <a:off x="8267700" y="36431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270" name="TextBox 1269">
          <a:extLst>
            <a:ext uri="{FF2B5EF4-FFF2-40B4-BE49-F238E27FC236}">
              <a16:creationId xmlns:a16="http://schemas.microsoft.com/office/drawing/2014/main" id="{00000000-0008-0000-0000-000007000000}"/>
            </a:ext>
          </a:extLst>
        </xdr:cNvPr>
        <xdr:cNvSpPr txBox="1"/>
      </xdr:nvSpPr>
      <xdr:spPr>
        <a:xfrm>
          <a:off x="8267700" y="36431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271" name="TextBox 1270">
          <a:extLst>
            <a:ext uri="{FF2B5EF4-FFF2-40B4-BE49-F238E27FC236}">
              <a16:creationId xmlns:a16="http://schemas.microsoft.com/office/drawing/2014/main" id="{00000000-0008-0000-0000-000007000000}"/>
            </a:ext>
          </a:extLst>
        </xdr:cNvPr>
        <xdr:cNvSpPr txBox="1"/>
      </xdr:nvSpPr>
      <xdr:spPr>
        <a:xfrm>
          <a:off x="8267700" y="36614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272" name="TextBox 1271">
          <a:extLst>
            <a:ext uri="{FF2B5EF4-FFF2-40B4-BE49-F238E27FC236}">
              <a16:creationId xmlns:a16="http://schemas.microsoft.com/office/drawing/2014/main" id="{00000000-0008-0000-0000-000007000000}"/>
            </a:ext>
          </a:extLst>
        </xdr:cNvPr>
        <xdr:cNvSpPr txBox="1"/>
      </xdr:nvSpPr>
      <xdr:spPr>
        <a:xfrm>
          <a:off x="8267700" y="36614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273" name="TextBox 1272">
          <a:extLst>
            <a:ext uri="{FF2B5EF4-FFF2-40B4-BE49-F238E27FC236}">
              <a16:creationId xmlns:a16="http://schemas.microsoft.com/office/drawing/2014/main" id="{00000000-0008-0000-0000-000007000000}"/>
            </a:ext>
          </a:extLst>
        </xdr:cNvPr>
        <xdr:cNvSpPr txBox="1"/>
      </xdr:nvSpPr>
      <xdr:spPr>
        <a:xfrm>
          <a:off x="8267700" y="36796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274" name="TextBox 1273">
          <a:extLst>
            <a:ext uri="{FF2B5EF4-FFF2-40B4-BE49-F238E27FC236}">
              <a16:creationId xmlns:a16="http://schemas.microsoft.com/office/drawing/2014/main" id="{00000000-0008-0000-0000-000007000000}"/>
            </a:ext>
          </a:extLst>
        </xdr:cNvPr>
        <xdr:cNvSpPr txBox="1"/>
      </xdr:nvSpPr>
      <xdr:spPr>
        <a:xfrm>
          <a:off x="8267700" y="36796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1275" name="TextBox 1274">
          <a:extLst>
            <a:ext uri="{FF2B5EF4-FFF2-40B4-BE49-F238E27FC236}">
              <a16:creationId xmlns:a16="http://schemas.microsoft.com/office/drawing/2014/main" id="{00000000-0008-0000-0000-000007000000}"/>
            </a:ext>
          </a:extLst>
        </xdr:cNvPr>
        <xdr:cNvSpPr txBox="1"/>
      </xdr:nvSpPr>
      <xdr:spPr>
        <a:xfrm>
          <a:off x="8267700" y="3789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1276" name="TextBox 1275">
          <a:extLst>
            <a:ext uri="{FF2B5EF4-FFF2-40B4-BE49-F238E27FC236}">
              <a16:creationId xmlns:a16="http://schemas.microsoft.com/office/drawing/2014/main" id="{00000000-0008-0000-0000-000007000000}"/>
            </a:ext>
          </a:extLst>
        </xdr:cNvPr>
        <xdr:cNvSpPr txBox="1"/>
      </xdr:nvSpPr>
      <xdr:spPr>
        <a:xfrm>
          <a:off x="8267700" y="3789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277" name="TextBox 1276">
          <a:extLst>
            <a:ext uri="{FF2B5EF4-FFF2-40B4-BE49-F238E27FC236}">
              <a16:creationId xmlns:a16="http://schemas.microsoft.com/office/drawing/2014/main" id="{00000000-0008-0000-0000-000007000000}"/>
            </a:ext>
          </a:extLst>
        </xdr:cNvPr>
        <xdr:cNvSpPr txBox="1"/>
      </xdr:nvSpPr>
      <xdr:spPr>
        <a:xfrm>
          <a:off x="8267700" y="3807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278" name="TextBox 1277">
          <a:extLst>
            <a:ext uri="{FF2B5EF4-FFF2-40B4-BE49-F238E27FC236}">
              <a16:creationId xmlns:a16="http://schemas.microsoft.com/office/drawing/2014/main" id="{00000000-0008-0000-0000-000007000000}"/>
            </a:ext>
          </a:extLst>
        </xdr:cNvPr>
        <xdr:cNvSpPr txBox="1"/>
      </xdr:nvSpPr>
      <xdr:spPr>
        <a:xfrm>
          <a:off x="8267700" y="3807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279" name="TextBox 1278">
          <a:extLst>
            <a:ext uri="{FF2B5EF4-FFF2-40B4-BE49-F238E27FC236}">
              <a16:creationId xmlns:a16="http://schemas.microsoft.com/office/drawing/2014/main" id="{00000000-0008-0000-0000-000007000000}"/>
            </a:ext>
          </a:extLst>
        </xdr:cNvPr>
        <xdr:cNvSpPr txBox="1"/>
      </xdr:nvSpPr>
      <xdr:spPr>
        <a:xfrm>
          <a:off x="8267700" y="3826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280" name="TextBox 1279">
          <a:extLst>
            <a:ext uri="{FF2B5EF4-FFF2-40B4-BE49-F238E27FC236}">
              <a16:creationId xmlns:a16="http://schemas.microsoft.com/office/drawing/2014/main" id="{00000000-0008-0000-0000-000007000000}"/>
            </a:ext>
          </a:extLst>
        </xdr:cNvPr>
        <xdr:cNvSpPr txBox="1"/>
      </xdr:nvSpPr>
      <xdr:spPr>
        <a:xfrm>
          <a:off x="8267700" y="3826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281" name="TextBox 1280">
          <a:extLst>
            <a:ext uri="{FF2B5EF4-FFF2-40B4-BE49-F238E27FC236}">
              <a16:creationId xmlns:a16="http://schemas.microsoft.com/office/drawing/2014/main" id="{00000000-0008-0000-0000-000007000000}"/>
            </a:ext>
          </a:extLst>
        </xdr:cNvPr>
        <xdr:cNvSpPr txBox="1"/>
      </xdr:nvSpPr>
      <xdr:spPr>
        <a:xfrm>
          <a:off x="8267700" y="3844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282" name="TextBox 1281">
          <a:extLst>
            <a:ext uri="{FF2B5EF4-FFF2-40B4-BE49-F238E27FC236}">
              <a16:creationId xmlns:a16="http://schemas.microsoft.com/office/drawing/2014/main" id="{00000000-0008-0000-0000-000007000000}"/>
            </a:ext>
          </a:extLst>
        </xdr:cNvPr>
        <xdr:cNvSpPr txBox="1"/>
      </xdr:nvSpPr>
      <xdr:spPr>
        <a:xfrm>
          <a:off x="8267700" y="3844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283" name="TextBox 1282">
          <a:extLst>
            <a:ext uri="{FF2B5EF4-FFF2-40B4-BE49-F238E27FC236}">
              <a16:creationId xmlns:a16="http://schemas.microsoft.com/office/drawing/2014/main" id="{00000000-0008-0000-0000-000007000000}"/>
            </a:ext>
          </a:extLst>
        </xdr:cNvPr>
        <xdr:cNvSpPr txBox="1"/>
      </xdr:nvSpPr>
      <xdr:spPr>
        <a:xfrm>
          <a:off x="8267700" y="3862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284" name="TextBox 1283">
          <a:extLst>
            <a:ext uri="{FF2B5EF4-FFF2-40B4-BE49-F238E27FC236}">
              <a16:creationId xmlns:a16="http://schemas.microsoft.com/office/drawing/2014/main" id="{00000000-0008-0000-0000-000007000000}"/>
            </a:ext>
          </a:extLst>
        </xdr:cNvPr>
        <xdr:cNvSpPr txBox="1"/>
      </xdr:nvSpPr>
      <xdr:spPr>
        <a:xfrm>
          <a:off x="8267700" y="3862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285" name="TextBox 1284">
          <a:extLst>
            <a:ext uri="{FF2B5EF4-FFF2-40B4-BE49-F238E27FC236}">
              <a16:creationId xmlns:a16="http://schemas.microsoft.com/office/drawing/2014/main" id="{00000000-0008-0000-0000-000007000000}"/>
            </a:ext>
          </a:extLst>
        </xdr:cNvPr>
        <xdr:cNvSpPr txBox="1"/>
      </xdr:nvSpPr>
      <xdr:spPr>
        <a:xfrm>
          <a:off x="8267700" y="39723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286" name="TextBox 1285">
          <a:extLst>
            <a:ext uri="{FF2B5EF4-FFF2-40B4-BE49-F238E27FC236}">
              <a16:creationId xmlns:a16="http://schemas.microsoft.com/office/drawing/2014/main" id="{00000000-0008-0000-0000-000007000000}"/>
            </a:ext>
          </a:extLst>
        </xdr:cNvPr>
        <xdr:cNvSpPr txBox="1"/>
      </xdr:nvSpPr>
      <xdr:spPr>
        <a:xfrm>
          <a:off x="8267700" y="39723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287" name="TextBox 1286">
          <a:extLst>
            <a:ext uri="{FF2B5EF4-FFF2-40B4-BE49-F238E27FC236}">
              <a16:creationId xmlns:a16="http://schemas.microsoft.com/office/drawing/2014/main" id="{00000000-0008-0000-0000-000007000000}"/>
            </a:ext>
          </a:extLst>
        </xdr:cNvPr>
        <xdr:cNvSpPr txBox="1"/>
      </xdr:nvSpPr>
      <xdr:spPr>
        <a:xfrm>
          <a:off x="8267700" y="39905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288" name="TextBox 1287">
          <a:extLst>
            <a:ext uri="{FF2B5EF4-FFF2-40B4-BE49-F238E27FC236}">
              <a16:creationId xmlns:a16="http://schemas.microsoft.com/office/drawing/2014/main" id="{00000000-0008-0000-0000-000007000000}"/>
            </a:ext>
          </a:extLst>
        </xdr:cNvPr>
        <xdr:cNvSpPr txBox="1"/>
      </xdr:nvSpPr>
      <xdr:spPr>
        <a:xfrm>
          <a:off x="8267700" y="39905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289" name="TextBox 1288">
          <a:extLst>
            <a:ext uri="{FF2B5EF4-FFF2-40B4-BE49-F238E27FC236}">
              <a16:creationId xmlns:a16="http://schemas.microsoft.com/office/drawing/2014/main" id="{00000000-0008-0000-0000-000007000000}"/>
            </a:ext>
          </a:extLst>
        </xdr:cNvPr>
        <xdr:cNvSpPr txBox="1"/>
      </xdr:nvSpPr>
      <xdr:spPr>
        <a:xfrm>
          <a:off x="8267700" y="40088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290" name="TextBox 1289">
          <a:extLst>
            <a:ext uri="{FF2B5EF4-FFF2-40B4-BE49-F238E27FC236}">
              <a16:creationId xmlns:a16="http://schemas.microsoft.com/office/drawing/2014/main" id="{00000000-0008-0000-0000-000007000000}"/>
            </a:ext>
          </a:extLst>
        </xdr:cNvPr>
        <xdr:cNvSpPr txBox="1"/>
      </xdr:nvSpPr>
      <xdr:spPr>
        <a:xfrm>
          <a:off x="8267700" y="40088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291" name="TextBox 1290">
          <a:extLst>
            <a:ext uri="{FF2B5EF4-FFF2-40B4-BE49-F238E27FC236}">
              <a16:creationId xmlns:a16="http://schemas.microsoft.com/office/drawing/2014/main" id="{00000000-0008-0000-0000-000007000000}"/>
            </a:ext>
          </a:extLst>
        </xdr:cNvPr>
        <xdr:cNvSpPr txBox="1"/>
      </xdr:nvSpPr>
      <xdr:spPr>
        <a:xfrm>
          <a:off x="8267700" y="40271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292" name="TextBox 1291">
          <a:extLst>
            <a:ext uri="{FF2B5EF4-FFF2-40B4-BE49-F238E27FC236}">
              <a16:creationId xmlns:a16="http://schemas.microsoft.com/office/drawing/2014/main" id="{00000000-0008-0000-0000-000007000000}"/>
            </a:ext>
          </a:extLst>
        </xdr:cNvPr>
        <xdr:cNvSpPr txBox="1"/>
      </xdr:nvSpPr>
      <xdr:spPr>
        <a:xfrm>
          <a:off x="8267700" y="40271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293" name="TextBox 1292">
          <a:extLst>
            <a:ext uri="{FF2B5EF4-FFF2-40B4-BE49-F238E27FC236}">
              <a16:creationId xmlns:a16="http://schemas.microsoft.com/office/drawing/2014/main" id="{00000000-0008-0000-0000-000007000000}"/>
            </a:ext>
          </a:extLst>
        </xdr:cNvPr>
        <xdr:cNvSpPr txBox="1"/>
      </xdr:nvSpPr>
      <xdr:spPr>
        <a:xfrm>
          <a:off x="8267700" y="4045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294" name="TextBox 1293">
          <a:extLst>
            <a:ext uri="{FF2B5EF4-FFF2-40B4-BE49-F238E27FC236}">
              <a16:creationId xmlns:a16="http://schemas.microsoft.com/office/drawing/2014/main" id="{00000000-0008-0000-0000-000007000000}"/>
            </a:ext>
          </a:extLst>
        </xdr:cNvPr>
        <xdr:cNvSpPr txBox="1"/>
      </xdr:nvSpPr>
      <xdr:spPr>
        <a:xfrm>
          <a:off x="8267700" y="4045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295" name="TextBox 1294">
          <a:extLst>
            <a:ext uri="{FF2B5EF4-FFF2-40B4-BE49-F238E27FC236}">
              <a16:creationId xmlns:a16="http://schemas.microsoft.com/office/drawing/2014/main" id="{00000000-0008-0000-0000-000007000000}"/>
            </a:ext>
          </a:extLst>
        </xdr:cNvPr>
        <xdr:cNvSpPr txBox="1"/>
      </xdr:nvSpPr>
      <xdr:spPr>
        <a:xfrm>
          <a:off x="8267700" y="41551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296" name="TextBox 1295">
          <a:extLst>
            <a:ext uri="{FF2B5EF4-FFF2-40B4-BE49-F238E27FC236}">
              <a16:creationId xmlns:a16="http://schemas.microsoft.com/office/drawing/2014/main" id="{00000000-0008-0000-0000-000007000000}"/>
            </a:ext>
          </a:extLst>
        </xdr:cNvPr>
        <xdr:cNvSpPr txBox="1"/>
      </xdr:nvSpPr>
      <xdr:spPr>
        <a:xfrm>
          <a:off x="8267700" y="41551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297" name="TextBox 1296">
          <a:extLst>
            <a:ext uri="{FF2B5EF4-FFF2-40B4-BE49-F238E27FC236}">
              <a16:creationId xmlns:a16="http://schemas.microsoft.com/office/drawing/2014/main" id="{00000000-0008-0000-0000-000007000000}"/>
            </a:ext>
          </a:extLst>
        </xdr:cNvPr>
        <xdr:cNvSpPr txBox="1"/>
      </xdr:nvSpPr>
      <xdr:spPr>
        <a:xfrm>
          <a:off x="8267700" y="4173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298" name="TextBox 1297">
          <a:extLst>
            <a:ext uri="{FF2B5EF4-FFF2-40B4-BE49-F238E27FC236}">
              <a16:creationId xmlns:a16="http://schemas.microsoft.com/office/drawing/2014/main" id="{00000000-0008-0000-0000-000007000000}"/>
            </a:ext>
          </a:extLst>
        </xdr:cNvPr>
        <xdr:cNvSpPr txBox="1"/>
      </xdr:nvSpPr>
      <xdr:spPr>
        <a:xfrm>
          <a:off x="8267700" y="41734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299" name="TextBox 1298">
          <a:extLst>
            <a:ext uri="{FF2B5EF4-FFF2-40B4-BE49-F238E27FC236}">
              <a16:creationId xmlns:a16="http://schemas.microsoft.com/office/drawing/2014/main" id="{00000000-0008-0000-0000-000007000000}"/>
            </a:ext>
          </a:extLst>
        </xdr:cNvPr>
        <xdr:cNvSpPr txBox="1"/>
      </xdr:nvSpPr>
      <xdr:spPr>
        <a:xfrm>
          <a:off x="8267700" y="41917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300" name="TextBox 1299">
          <a:extLst>
            <a:ext uri="{FF2B5EF4-FFF2-40B4-BE49-F238E27FC236}">
              <a16:creationId xmlns:a16="http://schemas.microsoft.com/office/drawing/2014/main" id="{00000000-0008-0000-0000-000007000000}"/>
            </a:ext>
          </a:extLst>
        </xdr:cNvPr>
        <xdr:cNvSpPr txBox="1"/>
      </xdr:nvSpPr>
      <xdr:spPr>
        <a:xfrm>
          <a:off x="8267700" y="41917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301" name="TextBox 1300">
          <a:extLst>
            <a:ext uri="{FF2B5EF4-FFF2-40B4-BE49-F238E27FC236}">
              <a16:creationId xmlns:a16="http://schemas.microsoft.com/office/drawing/2014/main" id="{00000000-0008-0000-0000-000007000000}"/>
            </a:ext>
          </a:extLst>
        </xdr:cNvPr>
        <xdr:cNvSpPr txBox="1"/>
      </xdr:nvSpPr>
      <xdr:spPr>
        <a:xfrm>
          <a:off x="8267700" y="4210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302" name="TextBox 1301">
          <a:extLst>
            <a:ext uri="{FF2B5EF4-FFF2-40B4-BE49-F238E27FC236}">
              <a16:creationId xmlns:a16="http://schemas.microsoft.com/office/drawing/2014/main" id="{00000000-0008-0000-0000-000007000000}"/>
            </a:ext>
          </a:extLst>
        </xdr:cNvPr>
        <xdr:cNvSpPr txBox="1"/>
      </xdr:nvSpPr>
      <xdr:spPr>
        <a:xfrm>
          <a:off x="8267700" y="4210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303" name="TextBox 1302">
          <a:extLst>
            <a:ext uri="{FF2B5EF4-FFF2-40B4-BE49-F238E27FC236}">
              <a16:creationId xmlns:a16="http://schemas.microsoft.com/office/drawing/2014/main" id="{00000000-0008-0000-0000-000007000000}"/>
            </a:ext>
          </a:extLst>
        </xdr:cNvPr>
        <xdr:cNvSpPr txBox="1"/>
      </xdr:nvSpPr>
      <xdr:spPr>
        <a:xfrm>
          <a:off x="8267700" y="4228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304" name="TextBox 1303">
          <a:extLst>
            <a:ext uri="{FF2B5EF4-FFF2-40B4-BE49-F238E27FC236}">
              <a16:creationId xmlns:a16="http://schemas.microsoft.com/office/drawing/2014/main" id="{00000000-0008-0000-0000-000007000000}"/>
            </a:ext>
          </a:extLst>
        </xdr:cNvPr>
        <xdr:cNvSpPr txBox="1"/>
      </xdr:nvSpPr>
      <xdr:spPr>
        <a:xfrm>
          <a:off x="8267700" y="4228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05" name="TextBox 1304">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06" name="TextBox 1305">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07" name="TextBox 1306">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08" name="TextBox 1307">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309" name="TextBox 1308">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310" name="TextBox 1309">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311" name="TextBox 1310">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312" name="TextBox 1311">
          <a:extLst>
            <a:ext uri="{FF2B5EF4-FFF2-40B4-BE49-F238E27FC236}">
              <a16:creationId xmlns:a16="http://schemas.microsoft.com/office/drawing/2014/main" id="{00000000-0008-0000-0000-000007000000}"/>
            </a:ext>
          </a:extLst>
        </xdr:cNvPr>
        <xdr:cNvSpPr txBox="1"/>
      </xdr:nvSpPr>
      <xdr:spPr>
        <a:xfrm>
          <a:off x="8267700" y="3403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313" name="TextBox 1312">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314" name="TextBox 1313">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15" name="TextBox 1314">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16" name="TextBox 1315">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17" name="TextBox 1316">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18" name="TextBox 1317">
          <a:extLst>
            <a:ext uri="{FF2B5EF4-FFF2-40B4-BE49-F238E27FC236}">
              <a16:creationId xmlns:a16="http://schemas.microsoft.com/office/drawing/2014/main" id="{00000000-0008-0000-0000-000007000000}"/>
            </a:ext>
          </a:extLst>
        </xdr:cNvPr>
        <xdr:cNvSpPr txBox="1"/>
      </xdr:nvSpPr>
      <xdr:spPr>
        <a:xfrm>
          <a:off x="8267700" y="33642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19" name="TextBox 1318">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20" name="TextBox 1319">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21" name="TextBox 1320">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22" name="TextBox 1321">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23" name="TextBox 1322">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24" name="TextBox 1323">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25" name="TextBox 1324">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26" name="TextBox 1325">
          <a:extLst>
            <a:ext uri="{FF2B5EF4-FFF2-40B4-BE49-F238E27FC236}">
              <a16:creationId xmlns:a16="http://schemas.microsoft.com/office/drawing/2014/main" id="{00000000-0008-0000-0000-000007000000}"/>
            </a:ext>
          </a:extLst>
        </xdr:cNvPr>
        <xdr:cNvSpPr txBox="1"/>
      </xdr:nvSpPr>
      <xdr:spPr>
        <a:xfrm>
          <a:off x="8267700" y="3384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327" name="TextBox 1326">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328" name="TextBox 1327">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329" name="TextBox 1328">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330" name="TextBox 1329">
          <a:extLst>
            <a:ext uri="{FF2B5EF4-FFF2-40B4-BE49-F238E27FC236}">
              <a16:creationId xmlns:a16="http://schemas.microsoft.com/office/drawing/2014/main" id="{00000000-0008-0000-0000-000007000000}"/>
            </a:ext>
          </a:extLst>
        </xdr:cNvPr>
        <xdr:cNvSpPr txBox="1"/>
      </xdr:nvSpPr>
      <xdr:spPr>
        <a:xfrm>
          <a:off x="8267700" y="3344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1332" name="TextBox 1331">
          <a:extLst>
            <a:ext uri="{FF2B5EF4-FFF2-40B4-BE49-F238E27FC236}">
              <a16:creationId xmlns:a16="http://schemas.microsoft.com/office/drawing/2014/main" id="{00000000-0008-0000-0000-000007000000}"/>
            </a:ext>
          </a:extLst>
        </xdr:cNvPr>
        <xdr:cNvSpPr txBox="1"/>
      </xdr:nvSpPr>
      <xdr:spPr>
        <a:xfrm>
          <a:off x="8267700" y="33794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1336" name="TextBox 1335">
          <a:extLst>
            <a:ext uri="{FF2B5EF4-FFF2-40B4-BE49-F238E27FC236}">
              <a16:creationId xmlns:a16="http://schemas.microsoft.com/office/drawing/2014/main" id="{00000000-0008-0000-0000-000007000000}"/>
            </a:ext>
          </a:extLst>
        </xdr:cNvPr>
        <xdr:cNvSpPr txBox="1"/>
      </xdr:nvSpPr>
      <xdr:spPr>
        <a:xfrm>
          <a:off x="8267700" y="33794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337" name="TextBox 1336">
          <a:extLst>
            <a:ext uri="{FF2B5EF4-FFF2-40B4-BE49-F238E27FC236}">
              <a16:creationId xmlns:a16="http://schemas.microsoft.com/office/drawing/2014/main" id="{00000000-0008-0000-0000-000007000000}"/>
            </a:ext>
          </a:extLst>
        </xdr:cNvPr>
        <xdr:cNvSpPr txBox="1"/>
      </xdr:nvSpPr>
      <xdr:spPr>
        <a:xfrm>
          <a:off x="8267700" y="3399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338" name="TextBox 1337">
          <a:extLst>
            <a:ext uri="{FF2B5EF4-FFF2-40B4-BE49-F238E27FC236}">
              <a16:creationId xmlns:a16="http://schemas.microsoft.com/office/drawing/2014/main" id="{00000000-0008-0000-0000-000007000000}"/>
            </a:ext>
          </a:extLst>
        </xdr:cNvPr>
        <xdr:cNvSpPr txBox="1"/>
      </xdr:nvSpPr>
      <xdr:spPr>
        <a:xfrm>
          <a:off x="8267700" y="3399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39" name="TextBox 1338">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40" name="TextBox 1339">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41" name="TextBox 1340">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42" name="TextBox 1341">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343" name="TextBox 1342">
          <a:extLst>
            <a:ext uri="{FF2B5EF4-FFF2-40B4-BE49-F238E27FC236}">
              <a16:creationId xmlns:a16="http://schemas.microsoft.com/office/drawing/2014/main" id="{00000000-0008-0000-0000-000007000000}"/>
            </a:ext>
          </a:extLst>
        </xdr:cNvPr>
        <xdr:cNvSpPr txBox="1"/>
      </xdr:nvSpPr>
      <xdr:spPr>
        <a:xfrm>
          <a:off x="8267700" y="3458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344" name="TextBox 1343">
          <a:extLst>
            <a:ext uri="{FF2B5EF4-FFF2-40B4-BE49-F238E27FC236}">
              <a16:creationId xmlns:a16="http://schemas.microsoft.com/office/drawing/2014/main" id="{00000000-0008-0000-0000-000007000000}"/>
            </a:ext>
          </a:extLst>
        </xdr:cNvPr>
        <xdr:cNvSpPr txBox="1"/>
      </xdr:nvSpPr>
      <xdr:spPr>
        <a:xfrm>
          <a:off x="8267700" y="3458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345" name="TextBox 1344">
          <a:extLst>
            <a:ext uri="{FF2B5EF4-FFF2-40B4-BE49-F238E27FC236}">
              <a16:creationId xmlns:a16="http://schemas.microsoft.com/office/drawing/2014/main" id="{00000000-0008-0000-0000-000007000000}"/>
            </a:ext>
          </a:extLst>
        </xdr:cNvPr>
        <xdr:cNvSpPr txBox="1"/>
      </xdr:nvSpPr>
      <xdr:spPr>
        <a:xfrm>
          <a:off x="8267700" y="3478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346" name="TextBox 1345">
          <a:extLst>
            <a:ext uri="{FF2B5EF4-FFF2-40B4-BE49-F238E27FC236}">
              <a16:creationId xmlns:a16="http://schemas.microsoft.com/office/drawing/2014/main" id="{00000000-0008-0000-0000-000007000000}"/>
            </a:ext>
          </a:extLst>
        </xdr:cNvPr>
        <xdr:cNvSpPr txBox="1"/>
      </xdr:nvSpPr>
      <xdr:spPr>
        <a:xfrm>
          <a:off x="8267700" y="3478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347" name="TextBox 1346">
          <a:extLst>
            <a:ext uri="{FF2B5EF4-FFF2-40B4-BE49-F238E27FC236}">
              <a16:creationId xmlns:a16="http://schemas.microsoft.com/office/drawing/2014/main" id="{00000000-0008-0000-0000-000007000000}"/>
            </a:ext>
          </a:extLst>
        </xdr:cNvPr>
        <xdr:cNvSpPr txBox="1"/>
      </xdr:nvSpPr>
      <xdr:spPr>
        <a:xfrm>
          <a:off x="8267700" y="34968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348" name="TextBox 1347">
          <a:extLst>
            <a:ext uri="{FF2B5EF4-FFF2-40B4-BE49-F238E27FC236}">
              <a16:creationId xmlns:a16="http://schemas.microsoft.com/office/drawing/2014/main" id="{00000000-0008-0000-0000-000007000000}"/>
            </a:ext>
          </a:extLst>
        </xdr:cNvPr>
        <xdr:cNvSpPr txBox="1"/>
      </xdr:nvSpPr>
      <xdr:spPr>
        <a:xfrm>
          <a:off x="8267700" y="34968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349" name="TextBox 1348">
          <a:extLst>
            <a:ext uri="{FF2B5EF4-FFF2-40B4-BE49-F238E27FC236}">
              <a16:creationId xmlns:a16="http://schemas.microsoft.com/office/drawing/2014/main" id="{00000000-0008-0000-0000-000007000000}"/>
            </a:ext>
          </a:extLst>
        </xdr:cNvPr>
        <xdr:cNvSpPr txBox="1"/>
      </xdr:nvSpPr>
      <xdr:spPr>
        <a:xfrm>
          <a:off x="8267700" y="35151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350" name="TextBox 1349">
          <a:extLst>
            <a:ext uri="{FF2B5EF4-FFF2-40B4-BE49-F238E27FC236}">
              <a16:creationId xmlns:a16="http://schemas.microsoft.com/office/drawing/2014/main" id="{00000000-0008-0000-0000-000007000000}"/>
            </a:ext>
          </a:extLst>
        </xdr:cNvPr>
        <xdr:cNvSpPr txBox="1"/>
      </xdr:nvSpPr>
      <xdr:spPr>
        <a:xfrm>
          <a:off x="8267700" y="35151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1351" name="TextBox 1350">
          <a:extLst>
            <a:ext uri="{FF2B5EF4-FFF2-40B4-BE49-F238E27FC236}">
              <a16:creationId xmlns:a16="http://schemas.microsoft.com/office/drawing/2014/main" id="{00000000-0008-0000-0000-000007000000}"/>
            </a:ext>
          </a:extLst>
        </xdr:cNvPr>
        <xdr:cNvSpPr txBox="1"/>
      </xdr:nvSpPr>
      <xdr:spPr>
        <a:xfrm>
          <a:off x="8267700" y="35333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1352" name="TextBox 1351">
          <a:extLst>
            <a:ext uri="{FF2B5EF4-FFF2-40B4-BE49-F238E27FC236}">
              <a16:creationId xmlns:a16="http://schemas.microsoft.com/office/drawing/2014/main" id="{00000000-0008-0000-0000-000007000000}"/>
            </a:ext>
          </a:extLst>
        </xdr:cNvPr>
        <xdr:cNvSpPr txBox="1"/>
      </xdr:nvSpPr>
      <xdr:spPr>
        <a:xfrm>
          <a:off x="8267700" y="35333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1353" name="TextBox 1352">
          <a:extLst>
            <a:ext uri="{FF2B5EF4-FFF2-40B4-BE49-F238E27FC236}">
              <a16:creationId xmlns:a16="http://schemas.microsoft.com/office/drawing/2014/main" id="{00000000-0008-0000-0000-000007000000}"/>
            </a:ext>
          </a:extLst>
        </xdr:cNvPr>
        <xdr:cNvSpPr txBox="1"/>
      </xdr:nvSpPr>
      <xdr:spPr>
        <a:xfrm>
          <a:off x="8267700" y="35516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1354" name="TextBox 1353">
          <a:extLst>
            <a:ext uri="{FF2B5EF4-FFF2-40B4-BE49-F238E27FC236}">
              <a16:creationId xmlns:a16="http://schemas.microsoft.com/office/drawing/2014/main" id="{00000000-0008-0000-0000-000007000000}"/>
            </a:ext>
          </a:extLst>
        </xdr:cNvPr>
        <xdr:cNvSpPr txBox="1"/>
      </xdr:nvSpPr>
      <xdr:spPr>
        <a:xfrm>
          <a:off x="8267700" y="35516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1355" name="TextBox 1354">
          <a:extLst>
            <a:ext uri="{FF2B5EF4-FFF2-40B4-BE49-F238E27FC236}">
              <a16:creationId xmlns:a16="http://schemas.microsoft.com/office/drawing/2014/main" id="{00000000-0008-0000-0000-000007000000}"/>
            </a:ext>
          </a:extLst>
        </xdr:cNvPr>
        <xdr:cNvSpPr txBox="1"/>
      </xdr:nvSpPr>
      <xdr:spPr>
        <a:xfrm>
          <a:off x="8267700" y="36614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1356" name="TextBox 1355">
          <a:extLst>
            <a:ext uri="{FF2B5EF4-FFF2-40B4-BE49-F238E27FC236}">
              <a16:creationId xmlns:a16="http://schemas.microsoft.com/office/drawing/2014/main" id="{00000000-0008-0000-0000-000007000000}"/>
            </a:ext>
          </a:extLst>
        </xdr:cNvPr>
        <xdr:cNvSpPr txBox="1"/>
      </xdr:nvSpPr>
      <xdr:spPr>
        <a:xfrm>
          <a:off x="8267700" y="36614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357" name="TextBox 1356">
          <a:extLst>
            <a:ext uri="{FF2B5EF4-FFF2-40B4-BE49-F238E27FC236}">
              <a16:creationId xmlns:a16="http://schemas.microsoft.com/office/drawing/2014/main" id="{00000000-0008-0000-0000-000007000000}"/>
            </a:ext>
          </a:extLst>
        </xdr:cNvPr>
        <xdr:cNvSpPr txBox="1"/>
      </xdr:nvSpPr>
      <xdr:spPr>
        <a:xfrm>
          <a:off x="8267700" y="36796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358" name="TextBox 1357">
          <a:extLst>
            <a:ext uri="{FF2B5EF4-FFF2-40B4-BE49-F238E27FC236}">
              <a16:creationId xmlns:a16="http://schemas.microsoft.com/office/drawing/2014/main" id="{00000000-0008-0000-0000-000007000000}"/>
            </a:ext>
          </a:extLst>
        </xdr:cNvPr>
        <xdr:cNvSpPr txBox="1"/>
      </xdr:nvSpPr>
      <xdr:spPr>
        <a:xfrm>
          <a:off x="8267700" y="36796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359" name="TextBox 1358">
          <a:extLst>
            <a:ext uri="{FF2B5EF4-FFF2-40B4-BE49-F238E27FC236}">
              <a16:creationId xmlns:a16="http://schemas.microsoft.com/office/drawing/2014/main" id="{00000000-0008-0000-0000-000007000000}"/>
            </a:ext>
          </a:extLst>
        </xdr:cNvPr>
        <xdr:cNvSpPr txBox="1"/>
      </xdr:nvSpPr>
      <xdr:spPr>
        <a:xfrm>
          <a:off x="8267700" y="36979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360" name="TextBox 1359">
          <a:extLst>
            <a:ext uri="{FF2B5EF4-FFF2-40B4-BE49-F238E27FC236}">
              <a16:creationId xmlns:a16="http://schemas.microsoft.com/office/drawing/2014/main" id="{00000000-0008-0000-0000-000007000000}"/>
            </a:ext>
          </a:extLst>
        </xdr:cNvPr>
        <xdr:cNvSpPr txBox="1"/>
      </xdr:nvSpPr>
      <xdr:spPr>
        <a:xfrm>
          <a:off x="8267700" y="36979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361" name="TextBox 1360">
          <a:extLst>
            <a:ext uri="{FF2B5EF4-FFF2-40B4-BE49-F238E27FC236}">
              <a16:creationId xmlns:a16="http://schemas.microsoft.com/office/drawing/2014/main" id="{00000000-0008-0000-0000-000007000000}"/>
            </a:ext>
          </a:extLst>
        </xdr:cNvPr>
        <xdr:cNvSpPr txBox="1"/>
      </xdr:nvSpPr>
      <xdr:spPr>
        <a:xfrm>
          <a:off x="8267700" y="37162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362" name="TextBox 1361">
          <a:extLst>
            <a:ext uri="{FF2B5EF4-FFF2-40B4-BE49-F238E27FC236}">
              <a16:creationId xmlns:a16="http://schemas.microsoft.com/office/drawing/2014/main" id="{00000000-0008-0000-0000-000007000000}"/>
            </a:ext>
          </a:extLst>
        </xdr:cNvPr>
        <xdr:cNvSpPr txBox="1"/>
      </xdr:nvSpPr>
      <xdr:spPr>
        <a:xfrm>
          <a:off x="8267700" y="37162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363" name="TextBox 1362">
          <a:extLst>
            <a:ext uri="{FF2B5EF4-FFF2-40B4-BE49-F238E27FC236}">
              <a16:creationId xmlns:a16="http://schemas.microsoft.com/office/drawing/2014/main" id="{00000000-0008-0000-0000-000007000000}"/>
            </a:ext>
          </a:extLst>
        </xdr:cNvPr>
        <xdr:cNvSpPr txBox="1"/>
      </xdr:nvSpPr>
      <xdr:spPr>
        <a:xfrm>
          <a:off x="8267700" y="37345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364" name="TextBox 1363">
          <a:extLst>
            <a:ext uri="{FF2B5EF4-FFF2-40B4-BE49-F238E27FC236}">
              <a16:creationId xmlns:a16="http://schemas.microsoft.com/office/drawing/2014/main" id="{00000000-0008-0000-0000-000007000000}"/>
            </a:ext>
          </a:extLst>
        </xdr:cNvPr>
        <xdr:cNvSpPr txBox="1"/>
      </xdr:nvSpPr>
      <xdr:spPr>
        <a:xfrm>
          <a:off x="8267700" y="37345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1365" name="TextBox 1364">
          <a:extLst>
            <a:ext uri="{FF2B5EF4-FFF2-40B4-BE49-F238E27FC236}">
              <a16:creationId xmlns:a16="http://schemas.microsoft.com/office/drawing/2014/main" id="{00000000-0008-0000-0000-000007000000}"/>
            </a:ext>
          </a:extLst>
        </xdr:cNvPr>
        <xdr:cNvSpPr txBox="1"/>
      </xdr:nvSpPr>
      <xdr:spPr>
        <a:xfrm>
          <a:off x="8267700" y="3844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1366" name="TextBox 1365">
          <a:extLst>
            <a:ext uri="{FF2B5EF4-FFF2-40B4-BE49-F238E27FC236}">
              <a16:creationId xmlns:a16="http://schemas.microsoft.com/office/drawing/2014/main" id="{00000000-0008-0000-0000-000007000000}"/>
            </a:ext>
          </a:extLst>
        </xdr:cNvPr>
        <xdr:cNvSpPr txBox="1"/>
      </xdr:nvSpPr>
      <xdr:spPr>
        <a:xfrm>
          <a:off x="8267700" y="3844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367" name="TextBox 1366">
          <a:extLst>
            <a:ext uri="{FF2B5EF4-FFF2-40B4-BE49-F238E27FC236}">
              <a16:creationId xmlns:a16="http://schemas.microsoft.com/office/drawing/2014/main" id="{00000000-0008-0000-0000-000007000000}"/>
            </a:ext>
          </a:extLst>
        </xdr:cNvPr>
        <xdr:cNvSpPr txBox="1"/>
      </xdr:nvSpPr>
      <xdr:spPr>
        <a:xfrm>
          <a:off x="8267700" y="3862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368" name="TextBox 1367">
          <a:extLst>
            <a:ext uri="{FF2B5EF4-FFF2-40B4-BE49-F238E27FC236}">
              <a16:creationId xmlns:a16="http://schemas.microsoft.com/office/drawing/2014/main" id="{00000000-0008-0000-0000-000007000000}"/>
            </a:ext>
          </a:extLst>
        </xdr:cNvPr>
        <xdr:cNvSpPr txBox="1"/>
      </xdr:nvSpPr>
      <xdr:spPr>
        <a:xfrm>
          <a:off x="8267700" y="3862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369" name="TextBox 1368">
          <a:extLst>
            <a:ext uri="{FF2B5EF4-FFF2-40B4-BE49-F238E27FC236}">
              <a16:creationId xmlns:a16="http://schemas.microsoft.com/office/drawing/2014/main" id="{00000000-0008-0000-0000-000007000000}"/>
            </a:ext>
          </a:extLst>
        </xdr:cNvPr>
        <xdr:cNvSpPr txBox="1"/>
      </xdr:nvSpPr>
      <xdr:spPr>
        <a:xfrm>
          <a:off x="8267700" y="38808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370" name="TextBox 1369">
          <a:extLst>
            <a:ext uri="{FF2B5EF4-FFF2-40B4-BE49-F238E27FC236}">
              <a16:creationId xmlns:a16="http://schemas.microsoft.com/office/drawing/2014/main" id="{00000000-0008-0000-0000-000007000000}"/>
            </a:ext>
          </a:extLst>
        </xdr:cNvPr>
        <xdr:cNvSpPr txBox="1"/>
      </xdr:nvSpPr>
      <xdr:spPr>
        <a:xfrm>
          <a:off x="8267700" y="38808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371" name="TextBox 1370">
          <a:extLst>
            <a:ext uri="{FF2B5EF4-FFF2-40B4-BE49-F238E27FC236}">
              <a16:creationId xmlns:a16="http://schemas.microsoft.com/office/drawing/2014/main" id="{00000000-0008-0000-0000-000007000000}"/>
            </a:ext>
          </a:extLst>
        </xdr:cNvPr>
        <xdr:cNvSpPr txBox="1"/>
      </xdr:nvSpPr>
      <xdr:spPr>
        <a:xfrm>
          <a:off x="826770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372" name="TextBox 1371">
          <a:extLst>
            <a:ext uri="{FF2B5EF4-FFF2-40B4-BE49-F238E27FC236}">
              <a16:creationId xmlns:a16="http://schemas.microsoft.com/office/drawing/2014/main" id="{00000000-0008-0000-0000-000007000000}"/>
            </a:ext>
          </a:extLst>
        </xdr:cNvPr>
        <xdr:cNvSpPr txBox="1"/>
      </xdr:nvSpPr>
      <xdr:spPr>
        <a:xfrm>
          <a:off x="826770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373" name="TextBox 1372">
          <a:extLst>
            <a:ext uri="{FF2B5EF4-FFF2-40B4-BE49-F238E27FC236}">
              <a16:creationId xmlns:a16="http://schemas.microsoft.com/office/drawing/2014/main" id="{00000000-0008-0000-0000-000007000000}"/>
            </a:ext>
          </a:extLst>
        </xdr:cNvPr>
        <xdr:cNvSpPr txBox="1"/>
      </xdr:nvSpPr>
      <xdr:spPr>
        <a:xfrm>
          <a:off x="8267700" y="39174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374" name="TextBox 1373">
          <a:extLst>
            <a:ext uri="{FF2B5EF4-FFF2-40B4-BE49-F238E27FC236}">
              <a16:creationId xmlns:a16="http://schemas.microsoft.com/office/drawing/2014/main" id="{00000000-0008-0000-0000-000007000000}"/>
            </a:ext>
          </a:extLst>
        </xdr:cNvPr>
        <xdr:cNvSpPr txBox="1"/>
      </xdr:nvSpPr>
      <xdr:spPr>
        <a:xfrm>
          <a:off x="8267700" y="39174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375" name="TextBox 1374">
          <a:extLst>
            <a:ext uri="{FF2B5EF4-FFF2-40B4-BE49-F238E27FC236}">
              <a16:creationId xmlns:a16="http://schemas.microsoft.com/office/drawing/2014/main" id="{00000000-0008-0000-0000-000007000000}"/>
            </a:ext>
          </a:extLst>
        </xdr:cNvPr>
        <xdr:cNvSpPr txBox="1"/>
      </xdr:nvSpPr>
      <xdr:spPr>
        <a:xfrm>
          <a:off x="8267700" y="40271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376" name="TextBox 1375">
          <a:extLst>
            <a:ext uri="{FF2B5EF4-FFF2-40B4-BE49-F238E27FC236}">
              <a16:creationId xmlns:a16="http://schemas.microsoft.com/office/drawing/2014/main" id="{00000000-0008-0000-0000-000007000000}"/>
            </a:ext>
          </a:extLst>
        </xdr:cNvPr>
        <xdr:cNvSpPr txBox="1"/>
      </xdr:nvSpPr>
      <xdr:spPr>
        <a:xfrm>
          <a:off x="8267700" y="40271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377" name="TextBox 1376">
          <a:extLst>
            <a:ext uri="{FF2B5EF4-FFF2-40B4-BE49-F238E27FC236}">
              <a16:creationId xmlns:a16="http://schemas.microsoft.com/office/drawing/2014/main" id="{00000000-0008-0000-0000-000007000000}"/>
            </a:ext>
          </a:extLst>
        </xdr:cNvPr>
        <xdr:cNvSpPr txBox="1"/>
      </xdr:nvSpPr>
      <xdr:spPr>
        <a:xfrm>
          <a:off x="8267700" y="4045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378" name="TextBox 1377">
          <a:extLst>
            <a:ext uri="{FF2B5EF4-FFF2-40B4-BE49-F238E27FC236}">
              <a16:creationId xmlns:a16="http://schemas.microsoft.com/office/drawing/2014/main" id="{00000000-0008-0000-0000-000007000000}"/>
            </a:ext>
          </a:extLst>
        </xdr:cNvPr>
        <xdr:cNvSpPr txBox="1"/>
      </xdr:nvSpPr>
      <xdr:spPr>
        <a:xfrm>
          <a:off x="8267700" y="4045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379" name="TextBox 1378">
          <a:extLst>
            <a:ext uri="{FF2B5EF4-FFF2-40B4-BE49-F238E27FC236}">
              <a16:creationId xmlns:a16="http://schemas.microsoft.com/office/drawing/2014/main" id="{00000000-0008-0000-0000-000007000000}"/>
            </a:ext>
          </a:extLst>
        </xdr:cNvPr>
        <xdr:cNvSpPr txBox="1"/>
      </xdr:nvSpPr>
      <xdr:spPr>
        <a:xfrm>
          <a:off x="8267700" y="40637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380" name="TextBox 1379">
          <a:extLst>
            <a:ext uri="{FF2B5EF4-FFF2-40B4-BE49-F238E27FC236}">
              <a16:creationId xmlns:a16="http://schemas.microsoft.com/office/drawing/2014/main" id="{00000000-0008-0000-0000-000007000000}"/>
            </a:ext>
          </a:extLst>
        </xdr:cNvPr>
        <xdr:cNvSpPr txBox="1"/>
      </xdr:nvSpPr>
      <xdr:spPr>
        <a:xfrm>
          <a:off x="8267700" y="40637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381" name="TextBox 1380">
          <a:extLst>
            <a:ext uri="{FF2B5EF4-FFF2-40B4-BE49-F238E27FC236}">
              <a16:creationId xmlns:a16="http://schemas.microsoft.com/office/drawing/2014/main" id="{00000000-0008-0000-0000-000007000000}"/>
            </a:ext>
          </a:extLst>
        </xdr:cNvPr>
        <xdr:cNvSpPr txBox="1"/>
      </xdr:nvSpPr>
      <xdr:spPr>
        <a:xfrm>
          <a:off x="8267700" y="40820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382" name="TextBox 1381">
          <a:extLst>
            <a:ext uri="{FF2B5EF4-FFF2-40B4-BE49-F238E27FC236}">
              <a16:creationId xmlns:a16="http://schemas.microsoft.com/office/drawing/2014/main" id="{00000000-0008-0000-0000-000007000000}"/>
            </a:ext>
          </a:extLst>
        </xdr:cNvPr>
        <xdr:cNvSpPr txBox="1"/>
      </xdr:nvSpPr>
      <xdr:spPr>
        <a:xfrm>
          <a:off x="8267700" y="40820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383" name="TextBox 1382">
          <a:extLst>
            <a:ext uri="{FF2B5EF4-FFF2-40B4-BE49-F238E27FC236}">
              <a16:creationId xmlns:a16="http://schemas.microsoft.com/office/drawing/2014/main" id="{00000000-0008-0000-0000-000007000000}"/>
            </a:ext>
          </a:extLst>
        </xdr:cNvPr>
        <xdr:cNvSpPr txBox="1"/>
      </xdr:nvSpPr>
      <xdr:spPr>
        <a:xfrm>
          <a:off x="8267700" y="41003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384" name="TextBox 1383">
          <a:extLst>
            <a:ext uri="{FF2B5EF4-FFF2-40B4-BE49-F238E27FC236}">
              <a16:creationId xmlns:a16="http://schemas.microsoft.com/office/drawing/2014/main" id="{00000000-0008-0000-0000-000007000000}"/>
            </a:ext>
          </a:extLst>
        </xdr:cNvPr>
        <xdr:cNvSpPr txBox="1"/>
      </xdr:nvSpPr>
      <xdr:spPr>
        <a:xfrm>
          <a:off x="8267700" y="41003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385" name="TextBox 1384">
          <a:extLst>
            <a:ext uri="{FF2B5EF4-FFF2-40B4-BE49-F238E27FC236}">
              <a16:creationId xmlns:a16="http://schemas.microsoft.com/office/drawing/2014/main" id="{00000000-0008-0000-0000-000007000000}"/>
            </a:ext>
          </a:extLst>
        </xdr:cNvPr>
        <xdr:cNvSpPr txBox="1"/>
      </xdr:nvSpPr>
      <xdr:spPr>
        <a:xfrm>
          <a:off x="8267700" y="4210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386" name="TextBox 1385">
          <a:extLst>
            <a:ext uri="{FF2B5EF4-FFF2-40B4-BE49-F238E27FC236}">
              <a16:creationId xmlns:a16="http://schemas.microsoft.com/office/drawing/2014/main" id="{00000000-0008-0000-0000-000007000000}"/>
            </a:ext>
          </a:extLst>
        </xdr:cNvPr>
        <xdr:cNvSpPr txBox="1"/>
      </xdr:nvSpPr>
      <xdr:spPr>
        <a:xfrm>
          <a:off x="8267700" y="4210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387" name="TextBox 1386">
          <a:extLst>
            <a:ext uri="{FF2B5EF4-FFF2-40B4-BE49-F238E27FC236}">
              <a16:creationId xmlns:a16="http://schemas.microsoft.com/office/drawing/2014/main" id="{00000000-0008-0000-0000-000007000000}"/>
            </a:ext>
          </a:extLst>
        </xdr:cNvPr>
        <xdr:cNvSpPr txBox="1"/>
      </xdr:nvSpPr>
      <xdr:spPr>
        <a:xfrm>
          <a:off x="8267700" y="4228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388" name="TextBox 1387">
          <a:extLst>
            <a:ext uri="{FF2B5EF4-FFF2-40B4-BE49-F238E27FC236}">
              <a16:creationId xmlns:a16="http://schemas.microsoft.com/office/drawing/2014/main" id="{00000000-0008-0000-0000-000007000000}"/>
            </a:ext>
          </a:extLst>
        </xdr:cNvPr>
        <xdr:cNvSpPr txBox="1"/>
      </xdr:nvSpPr>
      <xdr:spPr>
        <a:xfrm>
          <a:off x="8267700" y="4228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389" name="TextBox 1388">
          <a:extLst>
            <a:ext uri="{FF2B5EF4-FFF2-40B4-BE49-F238E27FC236}">
              <a16:creationId xmlns:a16="http://schemas.microsoft.com/office/drawing/2014/main" id="{00000000-0008-0000-0000-000007000000}"/>
            </a:ext>
          </a:extLst>
        </xdr:cNvPr>
        <xdr:cNvSpPr txBox="1"/>
      </xdr:nvSpPr>
      <xdr:spPr>
        <a:xfrm>
          <a:off x="8267700" y="4246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390" name="TextBox 1389">
          <a:extLst>
            <a:ext uri="{FF2B5EF4-FFF2-40B4-BE49-F238E27FC236}">
              <a16:creationId xmlns:a16="http://schemas.microsoft.com/office/drawing/2014/main" id="{00000000-0008-0000-0000-000007000000}"/>
            </a:ext>
          </a:extLst>
        </xdr:cNvPr>
        <xdr:cNvSpPr txBox="1"/>
      </xdr:nvSpPr>
      <xdr:spPr>
        <a:xfrm>
          <a:off x="8267700" y="4246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391" name="TextBox 1390">
          <a:extLst>
            <a:ext uri="{FF2B5EF4-FFF2-40B4-BE49-F238E27FC236}">
              <a16:creationId xmlns:a16="http://schemas.microsoft.com/office/drawing/2014/main" id="{00000000-0008-0000-0000-000007000000}"/>
            </a:ext>
          </a:extLst>
        </xdr:cNvPr>
        <xdr:cNvSpPr txBox="1"/>
      </xdr:nvSpPr>
      <xdr:spPr>
        <a:xfrm>
          <a:off x="8267700" y="42649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392" name="TextBox 1391">
          <a:extLst>
            <a:ext uri="{FF2B5EF4-FFF2-40B4-BE49-F238E27FC236}">
              <a16:creationId xmlns:a16="http://schemas.microsoft.com/office/drawing/2014/main" id="{00000000-0008-0000-0000-000007000000}"/>
            </a:ext>
          </a:extLst>
        </xdr:cNvPr>
        <xdr:cNvSpPr txBox="1"/>
      </xdr:nvSpPr>
      <xdr:spPr>
        <a:xfrm>
          <a:off x="8267700" y="42649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393" name="TextBox 1392">
          <a:extLst>
            <a:ext uri="{FF2B5EF4-FFF2-40B4-BE49-F238E27FC236}">
              <a16:creationId xmlns:a16="http://schemas.microsoft.com/office/drawing/2014/main" id="{00000000-0008-0000-0000-000007000000}"/>
            </a:ext>
          </a:extLst>
        </xdr:cNvPr>
        <xdr:cNvSpPr txBox="1"/>
      </xdr:nvSpPr>
      <xdr:spPr>
        <a:xfrm>
          <a:off x="8267700" y="42832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394" name="TextBox 1393">
          <a:extLst>
            <a:ext uri="{FF2B5EF4-FFF2-40B4-BE49-F238E27FC236}">
              <a16:creationId xmlns:a16="http://schemas.microsoft.com/office/drawing/2014/main" id="{00000000-0008-0000-0000-000007000000}"/>
            </a:ext>
          </a:extLst>
        </xdr:cNvPr>
        <xdr:cNvSpPr txBox="1"/>
      </xdr:nvSpPr>
      <xdr:spPr>
        <a:xfrm>
          <a:off x="8267700" y="42832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95" name="TextBox 1394">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396" name="TextBox 1395">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97" name="TextBox 1396">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398" name="TextBox 1397">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399" name="TextBox 1398">
          <a:extLst>
            <a:ext uri="{FF2B5EF4-FFF2-40B4-BE49-F238E27FC236}">
              <a16:creationId xmlns:a16="http://schemas.microsoft.com/office/drawing/2014/main" id="{00000000-0008-0000-0000-000007000000}"/>
            </a:ext>
          </a:extLst>
        </xdr:cNvPr>
        <xdr:cNvSpPr txBox="1"/>
      </xdr:nvSpPr>
      <xdr:spPr>
        <a:xfrm>
          <a:off x="8267700" y="3458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400" name="TextBox 1399">
          <a:extLst>
            <a:ext uri="{FF2B5EF4-FFF2-40B4-BE49-F238E27FC236}">
              <a16:creationId xmlns:a16="http://schemas.microsoft.com/office/drawing/2014/main" id="{00000000-0008-0000-0000-000007000000}"/>
            </a:ext>
          </a:extLst>
        </xdr:cNvPr>
        <xdr:cNvSpPr txBox="1"/>
      </xdr:nvSpPr>
      <xdr:spPr>
        <a:xfrm>
          <a:off x="8267700" y="3458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401" name="TextBox 1400">
          <a:extLst>
            <a:ext uri="{FF2B5EF4-FFF2-40B4-BE49-F238E27FC236}">
              <a16:creationId xmlns:a16="http://schemas.microsoft.com/office/drawing/2014/main" id="{00000000-0008-0000-0000-000007000000}"/>
            </a:ext>
          </a:extLst>
        </xdr:cNvPr>
        <xdr:cNvSpPr txBox="1"/>
      </xdr:nvSpPr>
      <xdr:spPr>
        <a:xfrm>
          <a:off x="8267700" y="3458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402" name="TextBox 1401">
          <a:extLst>
            <a:ext uri="{FF2B5EF4-FFF2-40B4-BE49-F238E27FC236}">
              <a16:creationId xmlns:a16="http://schemas.microsoft.com/office/drawing/2014/main" id="{00000000-0008-0000-0000-000007000000}"/>
            </a:ext>
          </a:extLst>
        </xdr:cNvPr>
        <xdr:cNvSpPr txBox="1"/>
      </xdr:nvSpPr>
      <xdr:spPr>
        <a:xfrm>
          <a:off x="8267700" y="3458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403" name="TextBox 1402">
          <a:extLst>
            <a:ext uri="{FF2B5EF4-FFF2-40B4-BE49-F238E27FC236}">
              <a16:creationId xmlns:a16="http://schemas.microsoft.com/office/drawing/2014/main" id="{00000000-0008-0000-0000-000007000000}"/>
            </a:ext>
          </a:extLst>
        </xdr:cNvPr>
        <xdr:cNvSpPr txBox="1"/>
      </xdr:nvSpPr>
      <xdr:spPr>
        <a:xfrm>
          <a:off x="8267700" y="3399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404" name="TextBox 1403">
          <a:extLst>
            <a:ext uri="{FF2B5EF4-FFF2-40B4-BE49-F238E27FC236}">
              <a16:creationId xmlns:a16="http://schemas.microsoft.com/office/drawing/2014/main" id="{00000000-0008-0000-0000-000007000000}"/>
            </a:ext>
          </a:extLst>
        </xdr:cNvPr>
        <xdr:cNvSpPr txBox="1"/>
      </xdr:nvSpPr>
      <xdr:spPr>
        <a:xfrm>
          <a:off x="8267700" y="3399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05" name="TextBox 1404">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06" name="TextBox 1405">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07" name="TextBox 1406">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08" name="TextBox 1407">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409" name="TextBox 1408">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410" name="TextBox 1409">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411" name="TextBox 1410">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412" name="TextBox 1411">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413" name="TextBox 1412">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414" name="TextBox 1413">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415" name="TextBox 1414">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416" name="TextBox 1415">
          <a:extLst>
            <a:ext uri="{FF2B5EF4-FFF2-40B4-BE49-F238E27FC236}">
              <a16:creationId xmlns:a16="http://schemas.microsoft.com/office/drawing/2014/main" id="{00000000-0008-0000-0000-000007000000}"/>
            </a:ext>
          </a:extLst>
        </xdr:cNvPr>
        <xdr:cNvSpPr txBox="1"/>
      </xdr:nvSpPr>
      <xdr:spPr>
        <a:xfrm>
          <a:off x="8267700" y="3438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417" name="TextBox 1416">
          <a:extLst>
            <a:ext uri="{FF2B5EF4-FFF2-40B4-BE49-F238E27FC236}">
              <a16:creationId xmlns:a16="http://schemas.microsoft.com/office/drawing/2014/main" id="{00000000-0008-0000-0000-000007000000}"/>
            </a:ext>
          </a:extLst>
        </xdr:cNvPr>
        <xdr:cNvSpPr txBox="1"/>
      </xdr:nvSpPr>
      <xdr:spPr>
        <a:xfrm>
          <a:off x="8267700" y="3399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418" name="TextBox 1417">
          <a:extLst>
            <a:ext uri="{FF2B5EF4-FFF2-40B4-BE49-F238E27FC236}">
              <a16:creationId xmlns:a16="http://schemas.microsoft.com/office/drawing/2014/main" id="{00000000-0008-0000-0000-000007000000}"/>
            </a:ext>
          </a:extLst>
        </xdr:cNvPr>
        <xdr:cNvSpPr txBox="1"/>
      </xdr:nvSpPr>
      <xdr:spPr>
        <a:xfrm>
          <a:off x="8267700" y="3399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419" name="TextBox 1418">
          <a:extLst>
            <a:ext uri="{FF2B5EF4-FFF2-40B4-BE49-F238E27FC236}">
              <a16:creationId xmlns:a16="http://schemas.microsoft.com/office/drawing/2014/main" id="{00000000-0008-0000-0000-000007000000}"/>
            </a:ext>
          </a:extLst>
        </xdr:cNvPr>
        <xdr:cNvSpPr txBox="1"/>
      </xdr:nvSpPr>
      <xdr:spPr>
        <a:xfrm>
          <a:off x="8267700" y="3399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420" name="TextBox 1419">
          <a:extLst>
            <a:ext uri="{FF2B5EF4-FFF2-40B4-BE49-F238E27FC236}">
              <a16:creationId xmlns:a16="http://schemas.microsoft.com/office/drawing/2014/main" id="{00000000-0008-0000-0000-000007000000}"/>
            </a:ext>
          </a:extLst>
        </xdr:cNvPr>
        <xdr:cNvSpPr txBox="1"/>
      </xdr:nvSpPr>
      <xdr:spPr>
        <a:xfrm>
          <a:off x="8267700" y="3399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21" name="TextBox 1420">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22" name="TextBox 1421">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23" name="TextBox 1422">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24" name="TextBox 1423">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25" name="TextBox 1424">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26" name="TextBox 1425">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27" name="TextBox 1426">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28" name="TextBox 1427">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29" name="TextBox 1428">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30" name="TextBox 1429">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31" name="TextBox 1430">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32" name="TextBox 1431">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33" name="TextBox 1432">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34" name="TextBox 1433">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35" name="TextBox 1434">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36" name="TextBox 1435">
          <a:extLst>
            <a:ext uri="{FF2B5EF4-FFF2-40B4-BE49-F238E27FC236}">
              <a16:creationId xmlns:a16="http://schemas.microsoft.com/office/drawing/2014/main" id="{00000000-0008-0000-0000-000007000000}"/>
            </a:ext>
          </a:extLst>
        </xdr:cNvPr>
        <xdr:cNvSpPr txBox="1"/>
      </xdr:nvSpPr>
      <xdr:spPr>
        <a:xfrm>
          <a:off x="82677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37" name="TextBox 1436">
          <a:extLst>
            <a:ext uri="{FF2B5EF4-FFF2-40B4-BE49-F238E27FC236}">
              <a16:creationId xmlns:a16="http://schemas.microsoft.com/office/drawing/2014/main" id="{00000000-0008-0000-0000-000007000000}"/>
            </a:ext>
          </a:extLst>
        </xdr:cNvPr>
        <xdr:cNvSpPr txBox="1"/>
      </xdr:nvSpPr>
      <xdr:spPr>
        <a:xfrm>
          <a:off x="112014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38" name="TextBox 1437">
          <a:extLst>
            <a:ext uri="{FF2B5EF4-FFF2-40B4-BE49-F238E27FC236}">
              <a16:creationId xmlns:a16="http://schemas.microsoft.com/office/drawing/2014/main" id="{00000000-0008-0000-0000-000007000000}"/>
            </a:ext>
          </a:extLst>
        </xdr:cNvPr>
        <xdr:cNvSpPr txBox="1"/>
      </xdr:nvSpPr>
      <xdr:spPr>
        <a:xfrm>
          <a:off x="112014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39" name="TextBox 1438">
          <a:extLst>
            <a:ext uri="{FF2B5EF4-FFF2-40B4-BE49-F238E27FC236}">
              <a16:creationId xmlns:a16="http://schemas.microsoft.com/office/drawing/2014/main" id="{00000000-0008-0000-0000-000007000000}"/>
            </a:ext>
          </a:extLst>
        </xdr:cNvPr>
        <xdr:cNvSpPr txBox="1"/>
      </xdr:nvSpPr>
      <xdr:spPr>
        <a:xfrm>
          <a:off x="112014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40" name="TextBox 1439">
          <a:extLst>
            <a:ext uri="{FF2B5EF4-FFF2-40B4-BE49-F238E27FC236}">
              <a16:creationId xmlns:a16="http://schemas.microsoft.com/office/drawing/2014/main" id="{00000000-0008-0000-0000-000007000000}"/>
            </a:ext>
          </a:extLst>
        </xdr:cNvPr>
        <xdr:cNvSpPr txBox="1"/>
      </xdr:nvSpPr>
      <xdr:spPr>
        <a:xfrm>
          <a:off x="112014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41" name="TextBox 1440">
          <a:extLst>
            <a:ext uri="{FF2B5EF4-FFF2-40B4-BE49-F238E27FC236}">
              <a16:creationId xmlns:a16="http://schemas.microsoft.com/office/drawing/2014/main" id="{00000000-0008-0000-0000-000007000000}"/>
            </a:ext>
          </a:extLst>
        </xdr:cNvPr>
        <xdr:cNvSpPr txBox="1"/>
      </xdr:nvSpPr>
      <xdr:spPr>
        <a:xfrm>
          <a:off x="112014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42" name="TextBox 1441">
          <a:extLst>
            <a:ext uri="{FF2B5EF4-FFF2-40B4-BE49-F238E27FC236}">
              <a16:creationId xmlns:a16="http://schemas.microsoft.com/office/drawing/2014/main" id="{00000000-0008-0000-0000-000007000000}"/>
            </a:ext>
          </a:extLst>
        </xdr:cNvPr>
        <xdr:cNvSpPr txBox="1"/>
      </xdr:nvSpPr>
      <xdr:spPr>
        <a:xfrm>
          <a:off x="112014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43" name="TextBox 1442">
          <a:extLst>
            <a:ext uri="{FF2B5EF4-FFF2-40B4-BE49-F238E27FC236}">
              <a16:creationId xmlns:a16="http://schemas.microsoft.com/office/drawing/2014/main" id="{00000000-0008-0000-0000-000007000000}"/>
            </a:ext>
          </a:extLst>
        </xdr:cNvPr>
        <xdr:cNvSpPr txBox="1"/>
      </xdr:nvSpPr>
      <xdr:spPr>
        <a:xfrm>
          <a:off x="112014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44" name="TextBox 1443">
          <a:extLst>
            <a:ext uri="{FF2B5EF4-FFF2-40B4-BE49-F238E27FC236}">
              <a16:creationId xmlns:a16="http://schemas.microsoft.com/office/drawing/2014/main" id="{00000000-0008-0000-0000-000007000000}"/>
            </a:ext>
          </a:extLst>
        </xdr:cNvPr>
        <xdr:cNvSpPr txBox="1"/>
      </xdr:nvSpPr>
      <xdr:spPr>
        <a:xfrm>
          <a:off x="11201400" y="3419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445" name="TextBox 1444">
          <a:extLst>
            <a:ext uri="{FF2B5EF4-FFF2-40B4-BE49-F238E27FC236}">
              <a16:creationId xmlns:a16="http://schemas.microsoft.com/office/drawing/2014/main" id="{00000000-0008-0000-0000-000007000000}"/>
            </a:ext>
          </a:extLst>
        </xdr:cNvPr>
        <xdr:cNvSpPr txBox="1"/>
      </xdr:nvSpPr>
      <xdr:spPr>
        <a:xfrm>
          <a:off x="8267700" y="3399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446" name="TextBox 1445">
          <a:extLst>
            <a:ext uri="{FF2B5EF4-FFF2-40B4-BE49-F238E27FC236}">
              <a16:creationId xmlns:a16="http://schemas.microsoft.com/office/drawing/2014/main" id="{00000000-0008-0000-0000-000007000000}"/>
            </a:ext>
          </a:extLst>
        </xdr:cNvPr>
        <xdr:cNvSpPr txBox="1"/>
      </xdr:nvSpPr>
      <xdr:spPr>
        <a:xfrm>
          <a:off x="8267700" y="3399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1451" name="TextBox 1450">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84</xdr:row>
      <xdr:rowOff>0</xdr:rowOff>
    </xdr:from>
    <xdr:ext cx="65" cy="172227"/>
    <xdr:sp macro="" textlink="">
      <xdr:nvSpPr>
        <xdr:cNvPr id="1455" name="TextBox 1454">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456" name="TextBox 1455">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457" name="TextBox 1456">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58" name="TextBox 145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459" name="TextBox 145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460" name="TextBox 145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461" name="TextBox 146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462" name="TextBox 146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463" name="TextBox 146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464" name="TextBox 146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89</xdr:row>
      <xdr:rowOff>0</xdr:rowOff>
    </xdr:from>
    <xdr:ext cx="65" cy="172227"/>
    <xdr:sp macro="" textlink="">
      <xdr:nvSpPr>
        <xdr:cNvPr id="1465" name="TextBox 146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466" name="TextBox 1465">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90</xdr:row>
      <xdr:rowOff>0</xdr:rowOff>
    </xdr:from>
    <xdr:ext cx="65" cy="172227"/>
    <xdr:sp macro="" textlink="">
      <xdr:nvSpPr>
        <xdr:cNvPr id="1467" name="TextBox 1466">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468" name="TextBox 1467">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91</xdr:row>
      <xdr:rowOff>0</xdr:rowOff>
    </xdr:from>
    <xdr:ext cx="65" cy="172227"/>
    <xdr:sp macro="" textlink="">
      <xdr:nvSpPr>
        <xdr:cNvPr id="1469" name="TextBox 1468">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1470" name="TextBox 1469">
          <a:extLst>
            <a:ext uri="{FF2B5EF4-FFF2-40B4-BE49-F238E27FC236}">
              <a16:creationId xmlns:a16="http://schemas.microsoft.com/office/drawing/2014/main" id="{00000000-0008-0000-0000-000007000000}"/>
            </a:ext>
          </a:extLst>
        </xdr:cNvPr>
        <xdr:cNvSpPr txBox="1"/>
      </xdr:nvSpPr>
      <xdr:spPr>
        <a:xfrm>
          <a:off x="8267700" y="35029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92</xdr:row>
      <xdr:rowOff>0</xdr:rowOff>
    </xdr:from>
    <xdr:ext cx="65" cy="172227"/>
    <xdr:sp macro="" textlink="">
      <xdr:nvSpPr>
        <xdr:cNvPr id="1471" name="TextBox 1470">
          <a:extLst>
            <a:ext uri="{FF2B5EF4-FFF2-40B4-BE49-F238E27FC236}">
              <a16:creationId xmlns:a16="http://schemas.microsoft.com/office/drawing/2014/main" id="{00000000-0008-0000-0000-000007000000}"/>
            </a:ext>
          </a:extLst>
        </xdr:cNvPr>
        <xdr:cNvSpPr txBox="1"/>
      </xdr:nvSpPr>
      <xdr:spPr>
        <a:xfrm>
          <a:off x="8267700" y="35029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1472" name="TextBox 1471">
          <a:extLst>
            <a:ext uri="{FF2B5EF4-FFF2-40B4-BE49-F238E27FC236}">
              <a16:creationId xmlns:a16="http://schemas.microsoft.com/office/drawing/2014/main" id="{00000000-0008-0000-0000-000007000000}"/>
            </a:ext>
          </a:extLst>
        </xdr:cNvPr>
        <xdr:cNvSpPr txBox="1"/>
      </xdr:nvSpPr>
      <xdr:spPr>
        <a:xfrm>
          <a:off x="8267700" y="35212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93</xdr:row>
      <xdr:rowOff>0</xdr:rowOff>
    </xdr:from>
    <xdr:ext cx="65" cy="172227"/>
    <xdr:sp macro="" textlink="">
      <xdr:nvSpPr>
        <xdr:cNvPr id="1473" name="TextBox 1472">
          <a:extLst>
            <a:ext uri="{FF2B5EF4-FFF2-40B4-BE49-F238E27FC236}">
              <a16:creationId xmlns:a16="http://schemas.microsoft.com/office/drawing/2014/main" id="{00000000-0008-0000-0000-000007000000}"/>
            </a:ext>
          </a:extLst>
        </xdr:cNvPr>
        <xdr:cNvSpPr txBox="1"/>
      </xdr:nvSpPr>
      <xdr:spPr>
        <a:xfrm>
          <a:off x="8267700" y="35212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1474" name="TextBox 1473">
          <a:extLst>
            <a:ext uri="{FF2B5EF4-FFF2-40B4-BE49-F238E27FC236}">
              <a16:creationId xmlns:a16="http://schemas.microsoft.com/office/drawing/2014/main" id="{00000000-0008-0000-0000-000007000000}"/>
            </a:ext>
          </a:extLst>
        </xdr:cNvPr>
        <xdr:cNvSpPr txBox="1"/>
      </xdr:nvSpPr>
      <xdr:spPr>
        <a:xfrm>
          <a:off x="8267700" y="36309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99</xdr:row>
      <xdr:rowOff>0</xdr:rowOff>
    </xdr:from>
    <xdr:ext cx="65" cy="172227"/>
    <xdr:sp macro="" textlink="">
      <xdr:nvSpPr>
        <xdr:cNvPr id="1475" name="TextBox 1474">
          <a:extLst>
            <a:ext uri="{FF2B5EF4-FFF2-40B4-BE49-F238E27FC236}">
              <a16:creationId xmlns:a16="http://schemas.microsoft.com/office/drawing/2014/main" id="{00000000-0008-0000-0000-000007000000}"/>
            </a:ext>
          </a:extLst>
        </xdr:cNvPr>
        <xdr:cNvSpPr txBox="1"/>
      </xdr:nvSpPr>
      <xdr:spPr>
        <a:xfrm>
          <a:off x="8267700" y="36309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476" name="TextBox 1475">
          <a:extLst>
            <a:ext uri="{FF2B5EF4-FFF2-40B4-BE49-F238E27FC236}">
              <a16:creationId xmlns:a16="http://schemas.microsoft.com/office/drawing/2014/main" id="{00000000-0008-0000-0000-000007000000}"/>
            </a:ext>
          </a:extLst>
        </xdr:cNvPr>
        <xdr:cNvSpPr txBox="1"/>
      </xdr:nvSpPr>
      <xdr:spPr>
        <a:xfrm>
          <a:off x="8267700" y="36492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100</xdr:row>
      <xdr:rowOff>0</xdr:rowOff>
    </xdr:from>
    <xdr:ext cx="65" cy="172227"/>
    <xdr:sp macro="" textlink="">
      <xdr:nvSpPr>
        <xdr:cNvPr id="1477" name="TextBox 1476">
          <a:extLst>
            <a:ext uri="{FF2B5EF4-FFF2-40B4-BE49-F238E27FC236}">
              <a16:creationId xmlns:a16="http://schemas.microsoft.com/office/drawing/2014/main" id="{00000000-0008-0000-0000-000007000000}"/>
            </a:ext>
          </a:extLst>
        </xdr:cNvPr>
        <xdr:cNvSpPr txBox="1"/>
      </xdr:nvSpPr>
      <xdr:spPr>
        <a:xfrm>
          <a:off x="8267700" y="36492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478" name="TextBox 1477">
          <a:extLst>
            <a:ext uri="{FF2B5EF4-FFF2-40B4-BE49-F238E27FC236}">
              <a16:creationId xmlns:a16="http://schemas.microsoft.com/office/drawing/2014/main" id="{00000000-0008-0000-0000-000007000000}"/>
            </a:ext>
          </a:extLst>
        </xdr:cNvPr>
        <xdr:cNvSpPr txBox="1"/>
      </xdr:nvSpPr>
      <xdr:spPr>
        <a:xfrm>
          <a:off x="8267700" y="36675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101</xdr:row>
      <xdr:rowOff>0</xdr:rowOff>
    </xdr:from>
    <xdr:ext cx="65" cy="172227"/>
    <xdr:sp macro="" textlink="">
      <xdr:nvSpPr>
        <xdr:cNvPr id="1479" name="TextBox 1478">
          <a:extLst>
            <a:ext uri="{FF2B5EF4-FFF2-40B4-BE49-F238E27FC236}">
              <a16:creationId xmlns:a16="http://schemas.microsoft.com/office/drawing/2014/main" id="{00000000-0008-0000-0000-000007000000}"/>
            </a:ext>
          </a:extLst>
        </xdr:cNvPr>
        <xdr:cNvSpPr txBox="1"/>
      </xdr:nvSpPr>
      <xdr:spPr>
        <a:xfrm>
          <a:off x="8267700" y="36675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480" name="TextBox 1479">
          <a:extLst>
            <a:ext uri="{FF2B5EF4-FFF2-40B4-BE49-F238E27FC236}">
              <a16:creationId xmlns:a16="http://schemas.microsoft.com/office/drawing/2014/main" id="{00000000-0008-0000-0000-000007000000}"/>
            </a:ext>
          </a:extLst>
        </xdr:cNvPr>
        <xdr:cNvSpPr txBox="1"/>
      </xdr:nvSpPr>
      <xdr:spPr>
        <a:xfrm>
          <a:off x="8267700" y="36857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102</xdr:row>
      <xdr:rowOff>0</xdr:rowOff>
    </xdr:from>
    <xdr:ext cx="65" cy="172227"/>
    <xdr:sp macro="" textlink="">
      <xdr:nvSpPr>
        <xdr:cNvPr id="1481" name="TextBox 1480">
          <a:extLst>
            <a:ext uri="{FF2B5EF4-FFF2-40B4-BE49-F238E27FC236}">
              <a16:creationId xmlns:a16="http://schemas.microsoft.com/office/drawing/2014/main" id="{00000000-0008-0000-0000-000007000000}"/>
            </a:ext>
          </a:extLst>
        </xdr:cNvPr>
        <xdr:cNvSpPr txBox="1"/>
      </xdr:nvSpPr>
      <xdr:spPr>
        <a:xfrm>
          <a:off x="8267700" y="36857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482" name="TextBox 1481">
          <a:extLst>
            <a:ext uri="{FF2B5EF4-FFF2-40B4-BE49-F238E27FC236}">
              <a16:creationId xmlns:a16="http://schemas.microsoft.com/office/drawing/2014/main" id="{00000000-0008-0000-0000-000007000000}"/>
            </a:ext>
          </a:extLst>
        </xdr:cNvPr>
        <xdr:cNvSpPr txBox="1"/>
      </xdr:nvSpPr>
      <xdr:spPr>
        <a:xfrm>
          <a:off x="8267700" y="37040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103</xdr:row>
      <xdr:rowOff>0</xdr:rowOff>
    </xdr:from>
    <xdr:ext cx="65" cy="172227"/>
    <xdr:sp macro="" textlink="">
      <xdr:nvSpPr>
        <xdr:cNvPr id="1483" name="TextBox 1482">
          <a:extLst>
            <a:ext uri="{FF2B5EF4-FFF2-40B4-BE49-F238E27FC236}">
              <a16:creationId xmlns:a16="http://schemas.microsoft.com/office/drawing/2014/main" id="{00000000-0008-0000-0000-000007000000}"/>
            </a:ext>
          </a:extLst>
        </xdr:cNvPr>
        <xdr:cNvSpPr txBox="1"/>
      </xdr:nvSpPr>
      <xdr:spPr>
        <a:xfrm>
          <a:off x="8267700" y="37040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1484" name="TextBox 1483">
          <a:extLst>
            <a:ext uri="{FF2B5EF4-FFF2-40B4-BE49-F238E27FC236}">
              <a16:creationId xmlns:a16="http://schemas.microsoft.com/office/drawing/2014/main" id="{00000000-0008-0000-0000-000007000000}"/>
            </a:ext>
          </a:extLst>
        </xdr:cNvPr>
        <xdr:cNvSpPr txBox="1"/>
      </xdr:nvSpPr>
      <xdr:spPr>
        <a:xfrm>
          <a:off x="8267700" y="38138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109</xdr:row>
      <xdr:rowOff>0</xdr:rowOff>
    </xdr:from>
    <xdr:ext cx="65" cy="172227"/>
    <xdr:sp macro="" textlink="">
      <xdr:nvSpPr>
        <xdr:cNvPr id="1485" name="TextBox 1484">
          <a:extLst>
            <a:ext uri="{FF2B5EF4-FFF2-40B4-BE49-F238E27FC236}">
              <a16:creationId xmlns:a16="http://schemas.microsoft.com/office/drawing/2014/main" id="{00000000-0008-0000-0000-000007000000}"/>
            </a:ext>
          </a:extLst>
        </xdr:cNvPr>
        <xdr:cNvSpPr txBox="1"/>
      </xdr:nvSpPr>
      <xdr:spPr>
        <a:xfrm>
          <a:off x="8267700" y="38138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486" name="TextBox 1485">
          <a:extLst>
            <a:ext uri="{FF2B5EF4-FFF2-40B4-BE49-F238E27FC236}">
              <a16:creationId xmlns:a16="http://schemas.microsoft.com/office/drawing/2014/main" id="{00000000-0008-0000-0000-000007000000}"/>
            </a:ext>
          </a:extLst>
        </xdr:cNvPr>
        <xdr:cNvSpPr txBox="1"/>
      </xdr:nvSpPr>
      <xdr:spPr>
        <a:xfrm>
          <a:off x="8267700" y="3832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110</xdr:row>
      <xdr:rowOff>0</xdr:rowOff>
    </xdr:from>
    <xdr:ext cx="65" cy="172227"/>
    <xdr:sp macro="" textlink="">
      <xdr:nvSpPr>
        <xdr:cNvPr id="1487" name="TextBox 1486">
          <a:extLst>
            <a:ext uri="{FF2B5EF4-FFF2-40B4-BE49-F238E27FC236}">
              <a16:creationId xmlns:a16="http://schemas.microsoft.com/office/drawing/2014/main" id="{00000000-0008-0000-0000-000007000000}"/>
            </a:ext>
          </a:extLst>
        </xdr:cNvPr>
        <xdr:cNvSpPr txBox="1"/>
      </xdr:nvSpPr>
      <xdr:spPr>
        <a:xfrm>
          <a:off x="8267700" y="3832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488" name="TextBox 1487">
          <a:extLst>
            <a:ext uri="{FF2B5EF4-FFF2-40B4-BE49-F238E27FC236}">
              <a16:creationId xmlns:a16="http://schemas.microsoft.com/office/drawing/2014/main" id="{00000000-0008-0000-0000-000007000000}"/>
            </a:ext>
          </a:extLst>
        </xdr:cNvPr>
        <xdr:cNvSpPr txBox="1"/>
      </xdr:nvSpPr>
      <xdr:spPr>
        <a:xfrm>
          <a:off x="8267700" y="38503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111</xdr:row>
      <xdr:rowOff>0</xdr:rowOff>
    </xdr:from>
    <xdr:ext cx="65" cy="172227"/>
    <xdr:sp macro="" textlink="">
      <xdr:nvSpPr>
        <xdr:cNvPr id="1489" name="TextBox 1488">
          <a:extLst>
            <a:ext uri="{FF2B5EF4-FFF2-40B4-BE49-F238E27FC236}">
              <a16:creationId xmlns:a16="http://schemas.microsoft.com/office/drawing/2014/main" id="{00000000-0008-0000-0000-000007000000}"/>
            </a:ext>
          </a:extLst>
        </xdr:cNvPr>
        <xdr:cNvSpPr txBox="1"/>
      </xdr:nvSpPr>
      <xdr:spPr>
        <a:xfrm>
          <a:off x="8267700" y="38503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490" name="TextBox 1489">
          <a:extLst>
            <a:ext uri="{FF2B5EF4-FFF2-40B4-BE49-F238E27FC236}">
              <a16:creationId xmlns:a16="http://schemas.microsoft.com/office/drawing/2014/main" id="{00000000-0008-0000-0000-000007000000}"/>
            </a:ext>
          </a:extLst>
        </xdr:cNvPr>
        <xdr:cNvSpPr txBox="1"/>
      </xdr:nvSpPr>
      <xdr:spPr>
        <a:xfrm>
          <a:off x="8267700" y="38686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112</xdr:row>
      <xdr:rowOff>0</xdr:rowOff>
    </xdr:from>
    <xdr:ext cx="65" cy="172227"/>
    <xdr:sp macro="" textlink="">
      <xdr:nvSpPr>
        <xdr:cNvPr id="1491" name="TextBox 1490">
          <a:extLst>
            <a:ext uri="{FF2B5EF4-FFF2-40B4-BE49-F238E27FC236}">
              <a16:creationId xmlns:a16="http://schemas.microsoft.com/office/drawing/2014/main" id="{00000000-0008-0000-0000-000007000000}"/>
            </a:ext>
          </a:extLst>
        </xdr:cNvPr>
        <xdr:cNvSpPr txBox="1"/>
      </xdr:nvSpPr>
      <xdr:spPr>
        <a:xfrm>
          <a:off x="8267700" y="38686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492" name="TextBox 1491">
          <a:extLst>
            <a:ext uri="{FF2B5EF4-FFF2-40B4-BE49-F238E27FC236}">
              <a16:creationId xmlns:a16="http://schemas.microsoft.com/office/drawing/2014/main" id="{00000000-0008-0000-0000-000007000000}"/>
            </a:ext>
          </a:extLst>
        </xdr:cNvPr>
        <xdr:cNvSpPr txBox="1"/>
      </xdr:nvSpPr>
      <xdr:spPr>
        <a:xfrm>
          <a:off x="8267700" y="3886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113</xdr:row>
      <xdr:rowOff>0</xdr:rowOff>
    </xdr:from>
    <xdr:ext cx="65" cy="172227"/>
    <xdr:sp macro="" textlink="">
      <xdr:nvSpPr>
        <xdr:cNvPr id="1493" name="TextBox 1492">
          <a:extLst>
            <a:ext uri="{FF2B5EF4-FFF2-40B4-BE49-F238E27FC236}">
              <a16:creationId xmlns:a16="http://schemas.microsoft.com/office/drawing/2014/main" id="{00000000-0008-0000-0000-000007000000}"/>
            </a:ext>
          </a:extLst>
        </xdr:cNvPr>
        <xdr:cNvSpPr txBox="1"/>
      </xdr:nvSpPr>
      <xdr:spPr>
        <a:xfrm>
          <a:off x="8267700" y="3886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494" name="TextBox 1493">
          <a:extLst>
            <a:ext uri="{FF2B5EF4-FFF2-40B4-BE49-F238E27FC236}">
              <a16:creationId xmlns:a16="http://schemas.microsoft.com/office/drawing/2014/main" id="{00000000-0008-0000-0000-000007000000}"/>
            </a:ext>
          </a:extLst>
        </xdr:cNvPr>
        <xdr:cNvSpPr txBox="1"/>
      </xdr:nvSpPr>
      <xdr:spPr>
        <a:xfrm>
          <a:off x="8267700" y="39966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119</xdr:row>
      <xdr:rowOff>0</xdr:rowOff>
    </xdr:from>
    <xdr:ext cx="65" cy="172227"/>
    <xdr:sp macro="" textlink="">
      <xdr:nvSpPr>
        <xdr:cNvPr id="1495" name="TextBox 1494">
          <a:extLst>
            <a:ext uri="{FF2B5EF4-FFF2-40B4-BE49-F238E27FC236}">
              <a16:creationId xmlns:a16="http://schemas.microsoft.com/office/drawing/2014/main" id="{00000000-0008-0000-0000-000007000000}"/>
            </a:ext>
          </a:extLst>
        </xdr:cNvPr>
        <xdr:cNvSpPr txBox="1"/>
      </xdr:nvSpPr>
      <xdr:spPr>
        <a:xfrm>
          <a:off x="8267700" y="39966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496" name="TextBox 1495">
          <a:extLst>
            <a:ext uri="{FF2B5EF4-FFF2-40B4-BE49-F238E27FC236}">
              <a16:creationId xmlns:a16="http://schemas.microsoft.com/office/drawing/2014/main" id="{00000000-0008-0000-0000-000007000000}"/>
            </a:ext>
          </a:extLst>
        </xdr:cNvPr>
        <xdr:cNvSpPr txBox="1"/>
      </xdr:nvSpPr>
      <xdr:spPr>
        <a:xfrm>
          <a:off x="8267700" y="40149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120</xdr:row>
      <xdr:rowOff>0</xdr:rowOff>
    </xdr:from>
    <xdr:ext cx="65" cy="172227"/>
    <xdr:sp macro="" textlink="">
      <xdr:nvSpPr>
        <xdr:cNvPr id="1497" name="TextBox 1496">
          <a:extLst>
            <a:ext uri="{FF2B5EF4-FFF2-40B4-BE49-F238E27FC236}">
              <a16:creationId xmlns:a16="http://schemas.microsoft.com/office/drawing/2014/main" id="{00000000-0008-0000-0000-000007000000}"/>
            </a:ext>
          </a:extLst>
        </xdr:cNvPr>
        <xdr:cNvSpPr txBox="1"/>
      </xdr:nvSpPr>
      <xdr:spPr>
        <a:xfrm>
          <a:off x="8267700" y="40149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498" name="TextBox 1497">
          <a:extLst>
            <a:ext uri="{FF2B5EF4-FFF2-40B4-BE49-F238E27FC236}">
              <a16:creationId xmlns:a16="http://schemas.microsoft.com/office/drawing/2014/main" id="{00000000-0008-0000-0000-000007000000}"/>
            </a:ext>
          </a:extLst>
        </xdr:cNvPr>
        <xdr:cNvSpPr txBox="1"/>
      </xdr:nvSpPr>
      <xdr:spPr>
        <a:xfrm>
          <a:off x="8267700" y="40332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121</xdr:row>
      <xdr:rowOff>0</xdr:rowOff>
    </xdr:from>
    <xdr:ext cx="65" cy="172227"/>
    <xdr:sp macro="" textlink="">
      <xdr:nvSpPr>
        <xdr:cNvPr id="1499" name="TextBox 1498">
          <a:extLst>
            <a:ext uri="{FF2B5EF4-FFF2-40B4-BE49-F238E27FC236}">
              <a16:creationId xmlns:a16="http://schemas.microsoft.com/office/drawing/2014/main" id="{00000000-0008-0000-0000-000007000000}"/>
            </a:ext>
          </a:extLst>
        </xdr:cNvPr>
        <xdr:cNvSpPr txBox="1"/>
      </xdr:nvSpPr>
      <xdr:spPr>
        <a:xfrm>
          <a:off x="8267700" y="40332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500" name="TextBox 1499">
          <a:extLst>
            <a:ext uri="{FF2B5EF4-FFF2-40B4-BE49-F238E27FC236}">
              <a16:creationId xmlns:a16="http://schemas.microsoft.com/office/drawing/2014/main" id="{00000000-0008-0000-0000-000007000000}"/>
            </a:ext>
          </a:extLst>
        </xdr:cNvPr>
        <xdr:cNvSpPr txBox="1"/>
      </xdr:nvSpPr>
      <xdr:spPr>
        <a:xfrm>
          <a:off x="8267700" y="40515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122</xdr:row>
      <xdr:rowOff>0</xdr:rowOff>
    </xdr:from>
    <xdr:ext cx="65" cy="172227"/>
    <xdr:sp macro="" textlink="">
      <xdr:nvSpPr>
        <xdr:cNvPr id="1501" name="TextBox 1500">
          <a:extLst>
            <a:ext uri="{FF2B5EF4-FFF2-40B4-BE49-F238E27FC236}">
              <a16:creationId xmlns:a16="http://schemas.microsoft.com/office/drawing/2014/main" id="{00000000-0008-0000-0000-000007000000}"/>
            </a:ext>
          </a:extLst>
        </xdr:cNvPr>
        <xdr:cNvSpPr txBox="1"/>
      </xdr:nvSpPr>
      <xdr:spPr>
        <a:xfrm>
          <a:off x="8267700" y="40515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502" name="TextBox 1501">
          <a:extLst>
            <a:ext uri="{FF2B5EF4-FFF2-40B4-BE49-F238E27FC236}">
              <a16:creationId xmlns:a16="http://schemas.microsoft.com/office/drawing/2014/main" id="{00000000-0008-0000-0000-000007000000}"/>
            </a:ext>
          </a:extLst>
        </xdr:cNvPr>
        <xdr:cNvSpPr txBox="1"/>
      </xdr:nvSpPr>
      <xdr:spPr>
        <a:xfrm>
          <a:off x="8267700" y="4069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123</xdr:row>
      <xdr:rowOff>0</xdr:rowOff>
    </xdr:from>
    <xdr:ext cx="65" cy="172227"/>
    <xdr:sp macro="" textlink="">
      <xdr:nvSpPr>
        <xdr:cNvPr id="1503" name="TextBox 1502">
          <a:extLst>
            <a:ext uri="{FF2B5EF4-FFF2-40B4-BE49-F238E27FC236}">
              <a16:creationId xmlns:a16="http://schemas.microsoft.com/office/drawing/2014/main" id="{00000000-0008-0000-0000-000007000000}"/>
            </a:ext>
          </a:extLst>
        </xdr:cNvPr>
        <xdr:cNvSpPr txBox="1"/>
      </xdr:nvSpPr>
      <xdr:spPr>
        <a:xfrm>
          <a:off x="8267700" y="4069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504" name="TextBox 1503">
          <a:extLst>
            <a:ext uri="{FF2B5EF4-FFF2-40B4-BE49-F238E27FC236}">
              <a16:creationId xmlns:a16="http://schemas.microsoft.com/office/drawing/2014/main" id="{00000000-0008-0000-0000-000007000000}"/>
            </a:ext>
          </a:extLst>
        </xdr:cNvPr>
        <xdr:cNvSpPr txBox="1"/>
      </xdr:nvSpPr>
      <xdr:spPr>
        <a:xfrm>
          <a:off x="8267700" y="41795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129</xdr:row>
      <xdr:rowOff>0</xdr:rowOff>
    </xdr:from>
    <xdr:ext cx="65" cy="172227"/>
    <xdr:sp macro="" textlink="">
      <xdr:nvSpPr>
        <xdr:cNvPr id="1505" name="TextBox 1504">
          <a:extLst>
            <a:ext uri="{FF2B5EF4-FFF2-40B4-BE49-F238E27FC236}">
              <a16:creationId xmlns:a16="http://schemas.microsoft.com/office/drawing/2014/main" id="{00000000-0008-0000-0000-000007000000}"/>
            </a:ext>
          </a:extLst>
        </xdr:cNvPr>
        <xdr:cNvSpPr txBox="1"/>
      </xdr:nvSpPr>
      <xdr:spPr>
        <a:xfrm>
          <a:off x="8267700" y="41795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506" name="TextBox 1505">
          <a:extLst>
            <a:ext uri="{FF2B5EF4-FFF2-40B4-BE49-F238E27FC236}">
              <a16:creationId xmlns:a16="http://schemas.microsoft.com/office/drawing/2014/main" id="{00000000-0008-0000-0000-000007000000}"/>
            </a:ext>
          </a:extLst>
        </xdr:cNvPr>
        <xdr:cNvSpPr txBox="1"/>
      </xdr:nvSpPr>
      <xdr:spPr>
        <a:xfrm>
          <a:off x="8267700" y="41978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130</xdr:row>
      <xdr:rowOff>0</xdr:rowOff>
    </xdr:from>
    <xdr:ext cx="65" cy="172227"/>
    <xdr:sp macro="" textlink="">
      <xdr:nvSpPr>
        <xdr:cNvPr id="1507" name="TextBox 1506">
          <a:extLst>
            <a:ext uri="{FF2B5EF4-FFF2-40B4-BE49-F238E27FC236}">
              <a16:creationId xmlns:a16="http://schemas.microsoft.com/office/drawing/2014/main" id="{00000000-0008-0000-0000-000007000000}"/>
            </a:ext>
          </a:extLst>
        </xdr:cNvPr>
        <xdr:cNvSpPr txBox="1"/>
      </xdr:nvSpPr>
      <xdr:spPr>
        <a:xfrm>
          <a:off x="8267700" y="41978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508" name="TextBox 1507">
          <a:extLst>
            <a:ext uri="{FF2B5EF4-FFF2-40B4-BE49-F238E27FC236}">
              <a16:creationId xmlns:a16="http://schemas.microsoft.com/office/drawing/2014/main" id="{00000000-0008-0000-0000-000007000000}"/>
            </a:ext>
          </a:extLst>
        </xdr:cNvPr>
        <xdr:cNvSpPr txBox="1"/>
      </xdr:nvSpPr>
      <xdr:spPr>
        <a:xfrm>
          <a:off x="8267700" y="4216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131</xdr:row>
      <xdr:rowOff>0</xdr:rowOff>
    </xdr:from>
    <xdr:ext cx="65" cy="172227"/>
    <xdr:sp macro="" textlink="">
      <xdr:nvSpPr>
        <xdr:cNvPr id="1509" name="TextBox 1508">
          <a:extLst>
            <a:ext uri="{FF2B5EF4-FFF2-40B4-BE49-F238E27FC236}">
              <a16:creationId xmlns:a16="http://schemas.microsoft.com/office/drawing/2014/main" id="{00000000-0008-0000-0000-000007000000}"/>
            </a:ext>
          </a:extLst>
        </xdr:cNvPr>
        <xdr:cNvSpPr txBox="1"/>
      </xdr:nvSpPr>
      <xdr:spPr>
        <a:xfrm>
          <a:off x="8267700" y="4216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510" name="TextBox 1509">
          <a:extLst>
            <a:ext uri="{FF2B5EF4-FFF2-40B4-BE49-F238E27FC236}">
              <a16:creationId xmlns:a16="http://schemas.microsoft.com/office/drawing/2014/main" id="{00000000-0008-0000-0000-000007000000}"/>
            </a:ext>
          </a:extLst>
        </xdr:cNvPr>
        <xdr:cNvSpPr txBox="1"/>
      </xdr:nvSpPr>
      <xdr:spPr>
        <a:xfrm>
          <a:off x="8267700" y="42344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132</xdr:row>
      <xdr:rowOff>0</xdr:rowOff>
    </xdr:from>
    <xdr:ext cx="65" cy="172227"/>
    <xdr:sp macro="" textlink="">
      <xdr:nvSpPr>
        <xdr:cNvPr id="1511" name="TextBox 1510">
          <a:extLst>
            <a:ext uri="{FF2B5EF4-FFF2-40B4-BE49-F238E27FC236}">
              <a16:creationId xmlns:a16="http://schemas.microsoft.com/office/drawing/2014/main" id="{00000000-0008-0000-0000-000007000000}"/>
            </a:ext>
          </a:extLst>
        </xdr:cNvPr>
        <xdr:cNvSpPr txBox="1"/>
      </xdr:nvSpPr>
      <xdr:spPr>
        <a:xfrm>
          <a:off x="8267700" y="42344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512" name="TextBox 1511">
          <a:extLst>
            <a:ext uri="{FF2B5EF4-FFF2-40B4-BE49-F238E27FC236}">
              <a16:creationId xmlns:a16="http://schemas.microsoft.com/office/drawing/2014/main" id="{00000000-0008-0000-0000-000007000000}"/>
            </a:ext>
          </a:extLst>
        </xdr:cNvPr>
        <xdr:cNvSpPr txBox="1"/>
      </xdr:nvSpPr>
      <xdr:spPr>
        <a:xfrm>
          <a:off x="8267700" y="42527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133</xdr:row>
      <xdr:rowOff>0</xdr:rowOff>
    </xdr:from>
    <xdr:ext cx="65" cy="172227"/>
    <xdr:sp macro="" textlink="">
      <xdr:nvSpPr>
        <xdr:cNvPr id="1513" name="TextBox 1512">
          <a:extLst>
            <a:ext uri="{FF2B5EF4-FFF2-40B4-BE49-F238E27FC236}">
              <a16:creationId xmlns:a16="http://schemas.microsoft.com/office/drawing/2014/main" id="{00000000-0008-0000-0000-000007000000}"/>
            </a:ext>
          </a:extLst>
        </xdr:cNvPr>
        <xdr:cNvSpPr txBox="1"/>
      </xdr:nvSpPr>
      <xdr:spPr>
        <a:xfrm>
          <a:off x="8267700" y="42527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14" name="TextBox 151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15" name="TextBox 151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516" name="TextBox 151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517" name="TextBox 151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518" name="TextBox 151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519" name="TextBox 151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520" name="TextBox 151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88</xdr:row>
      <xdr:rowOff>0</xdr:rowOff>
    </xdr:from>
    <xdr:ext cx="65" cy="172227"/>
    <xdr:sp macro="" textlink="">
      <xdr:nvSpPr>
        <xdr:cNvPr id="1521" name="TextBox 152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522" name="TextBox 1521">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523" name="TextBox 1522">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24" name="TextBox 152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25" name="TextBox 152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26" name="TextBox 152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27" name="TextBox 152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528" name="TextBox 152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529" name="TextBox 152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530" name="TextBox 152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531" name="TextBox 153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532" name="TextBox 153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533" name="TextBox 153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534" name="TextBox 153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87</xdr:row>
      <xdr:rowOff>0</xdr:rowOff>
    </xdr:from>
    <xdr:ext cx="65" cy="172227"/>
    <xdr:sp macro="" textlink="">
      <xdr:nvSpPr>
        <xdr:cNvPr id="1535" name="TextBox 153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536" name="TextBox 1535">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537" name="TextBox 1536">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538" name="TextBox 1537">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539" name="TextBox 1538">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40" name="TextBox 153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41" name="TextBox 154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42" name="TextBox 154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43" name="TextBox 154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44" name="TextBox 154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45" name="TextBox 154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46" name="TextBox 154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47" name="TextBox 154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48" name="TextBox 154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49" name="TextBox 154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50" name="TextBox 154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51" name="TextBox 155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52" name="TextBox 155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53" name="TextBox 155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54" name="TextBox 155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55" name="TextBox 155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56" name="TextBox 1555">
          <a:extLst>
            <a:ext uri="{FF2B5EF4-FFF2-40B4-BE49-F238E27FC236}">
              <a16:creationId xmlns:a16="http://schemas.microsoft.com/office/drawing/2014/main" id="{00000000-0008-0000-0000-000007000000}"/>
            </a:ext>
          </a:extLst>
        </xdr:cNvPr>
        <xdr:cNvSpPr txBox="1"/>
      </xdr:nvSpPr>
      <xdr:spPr>
        <a:xfrm>
          <a:off x="112014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57" name="TextBox 1556">
          <a:extLst>
            <a:ext uri="{FF2B5EF4-FFF2-40B4-BE49-F238E27FC236}">
              <a16:creationId xmlns:a16="http://schemas.microsoft.com/office/drawing/2014/main" id="{00000000-0008-0000-0000-000007000000}"/>
            </a:ext>
          </a:extLst>
        </xdr:cNvPr>
        <xdr:cNvSpPr txBox="1"/>
      </xdr:nvSpPr>
      <xdr:spPr>
        <a:xfrm>
          <a:off x="112014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58" name="TextBox 1557">
          <a:extLst>
            <a:ext uri="{FF2B5EF4-FFF2-40B4-BE49-F238E27FC236}">
              <a16:creationId xmlns:a16="http://schemas.microsoft.com/office/drawing/2014/main" id="{00000000-0008-0000-0000-000007000000}"/>
            </a:ext>
          </a:extLst>
        </xdr:cNvPr>
        <xdr:cNvSpPr txBox="1"/>
      </xdr:nvSpPr>
      <xdr:spPr>
        <a:xfrm>
          <a:off x="112014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59" name="TextBox 1558">
          <a:extLst>
            <a:ext uri="{FF2B5EF4-FFF2-40B4-BE49-F238E27FC236}">
              <a16:creationId xmlns:a16="http://schemas.microsoft.com/office/drawing/2014/main" id="{00000000-0008-0000-0000-000007000000}"/>
            </a:ext>
          </a:extLst>
        </xdr:cNvPr>
        <xdr:cNvSpPr txBox="1"/>
      </xdr:nvSpPr>
      <xdr:spPr>
        <a:xfrm>
          <a:off x="112014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60" name="TextBox 1559">
          <a:extLst>
            <a:ext uri="{FF2B5EF4-FFF2-40B4-BE49-F238E27FC236}">
              <a16:creationId xmlns:a16="http://schemas.microsoft.com/office/drawing/2014/main" id="{00000000-0008-0000-0000-000007000000}"/>
            </a:ext>
          </a:extLst>
        </xdr:cNvPr>
        <xdr:cNvSpPr txBox="1"/>
      </xdr:nvSpPr>
      <xdr:spPr>
        <a:xfrm>
          <a:off x="112014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61" name="TextBox 1560">
          <a:extLst>
            <a:ext uri="{FF2B5EF4-FFF2-40B4-BE49-F238E27FC236}">
              <a16:creationId xmlns:a16="http://schemas.microsoft.com/office/drawing/2014/main" id="{00000000-0008-0000-0000-000007000000}"/>
            </a:ext>
          </a:extLst>
        </xdr:cNvPr>
        <xdr:cNvSpPr txBox="1"/>
      </xdr:nvSpPr>
      <xdr:spPr>
        <a:xfrm>
          <a:off x="112014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62" name="TextBox 1561">
          <a:extLst>
            <a:ext uri="{FF2B5EF4-FFF2-40B4-BE49-F238E27FC236}">
              <a16:creationId xmlns:a16="http://schemas.microsoft.com/office/drawing/2014/main" id="{00000000-0008-0000-0000-000007000000}"/>
            </a:ext>
          </a:extLst>
        </xdr:cNvPr>
        <xdr:cNvSpPr txBox="1"/>
      </xdr:nvSpPr>
      <xdr:spPr>
        <a:xfrm>
          <a:off x="112014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86</xdr:row>
      <xdr:rowOff>0</xdr:rowOff>
    </xdr:from>
    <xdr:ext cx="65" cy="172227"/>
    <xdr:sp macro="" textlink="">
      <xdr:nvSpPr>
        <xdr:cNvPr id="1563" name="TextBox 1562">
          <a:extLst>
            <a:ext uri="{FF2B5EF4-FFF2-40B4-BE49-F238E27FC236}">
              <a16:creationId xmlns:a16="http://schemas.microsoft.com/office/drawing/2014/main" id="{00000000-0008-0000-0000-000007000000}"/>
            </a:ext>
          </a:extLst>
        </xdr:cNvPr>
        <xdr:cNvSpPr txBox="1"/>
      </xdr:nvSpPr>
      <xdr:spPr>
        <a:xfrm>
          <a:off x="112014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564" name="TextBox 156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85</xdr:row>
      <xdr:rowOff>0</xdr:rowOff>
    </xdr:from>
    <xdr:ext cx="65" cy="172227"/>
    <xdr:sp macro="" textlink="">
      <xdr:nvSpPr>
        <xdr:cNvPr id="1565" name="TextBox 156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1568" name="TextBox 1567">
          <a:extLst>
            <a:ext uri="{FF2B5EF4-FFF2-40B4-BE49-F238E27FC236}">
              <a16:creationId xmlns:a16="http://schemas.microsoft.com/office/drawing/2014/main" id="{00000000-0008-0000-0000-000007000000}"/>
            </a:ext>
          </a:extLst>
        </xdr:cNvPr>
        <xdr:cNvSpPr txBox="1"/>
      </xdr:nvSpPr>
      <xdr:spPr>
        <a:xfrm>
          <a:off x="8267700" y="33459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1572" name="TextBox 1571">
          <a:extLst>
            <a:ext uri="{FF2B5EF4-FFF2-40B4-BE49-F238E27FC236}">
              <a16:creationId xmlns:a16="http://schemas.microsoft.com/office/drawing/2014/main" id="{00000000-0008-0000-0000-000007000000}"/>
            </a:ext>
          </a:extLst>
        </xdr:cNvPr>
        <xdr:cNvSpPr txBox="1"/>
      </xdr:nvSpPr>
      <xdr:spPr>
        <a:xfrm>
          <a:off x="8267700" y="33459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573" name="TextBox 1572">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574" name="TextBox 1573">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575" name="TextBox 1574">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576" name="TextBox 1575">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577" name="TextBox 1576">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578" name="TextBox 1577">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579" name="TextBox 1578">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580" name="TextBox 1579">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581" name="TextBox 1580">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582" name="TextBox 1581">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583" name="TextBox 1582">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584" name="TextBox 1583">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585" name="TextBox 1584">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586" name="TextBox 1585">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1587" name="TextBox 1586">
          <a:extLst>
            <a:ext uri="{FF2B5EF4-FFF2-40B4-BE49-F238E27FC236}">
              <a16:creationId xmlns:a16="http://schemas.microsoft.com/office/drawing/2014/main" id="{00000000-0008-0000-0000-000007000000}"/>
            </a:ext>
          </a:extLst>
        </xdr:cNvPr>
        <xdr:cNvSpPr txBox="1"/>
      </xdr:nvSpPr>
      <xdr:spPr>
        <a:xfrm>
          <a:off x="8267700" y="34998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1588" name="TextBox 1587">
          <a:extLst>
            <a:ext uri="{FF2B5EF4-FFF2-40B4-BE49-F238E27FC236}">
              <a16:creationId xmlns:a16="http://schemas.microsoft.com/office/drawing/2014/main" id="{00000000-0008-0000-0000-000007000000}"/>
            </a:ext>
          </a:extLst>
        </xdr:cNvPr>
        <xdr:cNvSpPr txBox="1"/>
      </xdr:nvSpPr>
      <xdr:spPr>
        <a:xfrm>
          <a:off x="8267700" y="34998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1589" name="TextBox 1588">
          <a:extLst>
            <a:ext uri="{FF2B5EF4-FFF2-40B4-BE49-F238E27FC236}">
              <a16:creationId xmlns:a16="http://schemas.microsoft.com/office/drawing/2014/main" id="{00000000-0008-0000-0000-000007000000}"/>
            </a:ext>
          </a:extLst>
        </xdr:cNvPr>
        <xdr:cNvSpPr txBox="1"/>
      </xdr:nvSpPr>
      <xdr:spPr>
        <a:xfrm>
          <a:off x="8267700" y="3518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1590" name="TextBox 1589">
          <a:extLst>
            <a:ext uri="{FF2B5EF4-FFF2-40B4-BE49-F238E27FC236}">
              <a16:creationId xmlns:a16="http://schemas.microsoft.com/office/drawing/2014/main" id="{00000000-0008-0000-0000-000007000000}"/>
            </a:ext>
          </a:extLst>
        </xdr:cNvPr>
        <xdr:cNvSpPr txBox="1"/>
      </xdr:nvSpPr>
      <xdr:spPr>
        <a:xfrm>
          <a:off x="8267700" y="3518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591" name="TextBox 1590">
          <a:extLst>
            <a:ext uri="{FF2B5EF4-FFF2-40B4-BE49-F238E27FC236}">
              <a16:creationId xmlns:a16="http://schemas.microsoft.com/office/drawing/2014/main" id="{00000000-0008-0000-0000-000007000000}"/>
            </a:ext>
          </a:extLst>
        </xdr:cNvPr>
        <xdr:cNvSpPr txBox="1"/>
      </xdr:nvSpPr>
      <xdr:spPr>
        <a:xfrm>
          <a:off x="8267700" y="36278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592" name="TextBox 1591">
          <a:extLst>
            <a:ext uri="{FF2B5EF4-FFF2-40B4-BE49-F238E27FC236}">
              <a16:creationId xmlns:a16="http://schemas.microsoft.com/office/drawing/2014/main" id="{00000000-0008-0000-0000-000007000000}"/>
            </a:ext>
          </a:extLst>
        </xdr:cNvPr>
        <xdr:cNvSpPr txBox="1"/>
      </xdr:nvSpPr>
      <xdr:spPr>
        <a:xfrm>
          <a:off x="8267700" y="36278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593" name="TextBox 1592">
          <a:extLst>
            <a:ext uri="{FF2B5EF4-FFF2-40B4-BE49-F238E27FC236}">
              <a16:creationId xmlns:a16="http://schemas.microsoft.com/office/drawing/2014/main" id="{00000000-0008-0000-0000-000007000000}"/>
            </a:ext>
          </a:extLst>
        </xdr:cNvPr>
        <xdr:cNvSpPr txBox="1"/>
      </xdr:nvSpPr>
      <xdr:spPr>
        <a:xfrm>
          <a:off x="8267700" y="36461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594" name="TextBox 1593">
          <a:extLst>
            <a:ext uri="{FF2B5EF4-FFF2-40B4-BE49-F238E27FC236}">
              <a16:creationId xmlns:a16="http://schemas.microsoft.com/office/drawing/2014/main" id="{00000000-0008-0000-0000-000007000000}"/>
            </a:ext>
          </a:extLst>
        </xdr:cNvPr>
        <xdr:cNvSpPr txBox="1"/>
      </xdr:nvSpPr>
      <xdr:spPr>
        <a:xfrm>
          <a:off x="8267700" y="36461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595" name="TextBox 1594">
          <a:extLst>
            <a:ext uri="{FF2B5EF4-FFF2-40B4-BE49-F238E27FC236}">
              <a16:creationId xmlns:a16="http://schemas.microsoft.com/office/drawing/2014/main" id="{00000000-0008-0000-0000-000007000000}"/>
            </a:ext>
          </a:extLst>
        </xdr:cNvPr>
        <xdr:cNvSpPr txBox="1"/>
      </xdr:nvSpPr>
      <xdr:spPr>
        <a:xfrm>
          <a:off x="8267700" y="3664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1596" name="TextBox 1595">
          <a:extLst>
            <a:ext uri="{FF2B5EF4-FFF2-40B4-BE49-F238E27FC236}">
              <a16:creationId xmlns:a16="http://schemas.microsoft.com/office/drawing/2014/main" id="{00000000-0008-0000-0000-000007000000}"/>
            </a:ext>
          </a:extLst>
        </xdr:cNvPr>
        <xdr:cNvSpPr txBox="1"/>
      </xdr:nvSpPr>
      <xdr:spPr>
        <a:xfrm>
          <a:off x="8267700" y="3664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1597" name="TextBox 1596">
          <a:extLst>
            <a:ext uri="{FF2B5EF4-FFF2-40B4-BE49-F238E27FC236}">
              <a16:creationId xmlns:a16="http://schemas.microsoft.com/office/drawing/2014/main" id="{00000000-0008-0000-0000-000007000000}"/>
            </a:ext>
          </a:extLst>
        </xdr:cNvPr>
        <xdr:cNvSpPr txBox="1"/>
      </xdr:nvSpPr>
      <xdr:spPr>
        <a:xfrm>
          <a:off x="8267700" y="36827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1598" name="TextBox 1597">
          <a:extLst>
            <a:ext uri="{FF2B5EF4-FFF2-40B4-BE49-F238E27FC236}">
              <a16:creationId xmlns:a16="http://schemas.microsoft.com/office/drawing/2014/main" id="{00000000-0008-0000-0000-000007000000}"/>
            </a:ext>
          </a:extLst>
        </xdr:cNvPr>
        <xdr:cNvSpPr txBox="1"/>
      </xdr:nvSpPr>
      <xdr:spPr>
        <a:xfrm>
          <a:off x="8267700" y="36827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1599" name="TextBox 1598">
          <a:extLst>
            <a:ext uri="{FF2B5EF4-FFF2-40B4-BE49-F238E27FC236}">
              <a16:creationId xmlns:a16="http://schemas.microsoft.com/office/drawing/2014/main" id="{00000000-0008-0000-0000-000007000000}"/>
            </a:ext>
          </a:extLst>
        </xdr:cNvPr>
        <xdr:cNvSpPr txBox="1"/>
      </xdr:nvSpPr>
      <xdr:spPr>
        <a:xfrm>
          <a:off x="8267700" y="37010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1600" name="TextBox 1599">
          <a:extLst>
            <a:ext uri="{FF2B5EF4-FFF2-40B4-BE49-F238E27FC236}">
              <a16:creationId xmlns:a16="http://schemas.microsoft.com/office/drawing/2014/main" id="{00000000-0008-0000-0000-000007000000}"/>
            </a:ext>
          </a:extLst>
        </xdr:cNvPr>
        <xdr:cNvSpPr txBox="1"/>
      </xdr:nvSpPr>
      <xdr:spPr>
        <a:xfrm>
          <a:off x="8267700" y="37010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1601" name="TextBox 1600">
          <a:extLst>
            <a:ext uri="{FF2B5EF4-FFF2-40B4-BE49-F238E27FC236}">
              <a16:creationId xmlns:a16="http://schemas.microsoft.com/office/drawing/2014/main" id="{00000000-0008-0000-0000-000007000000}"/>
            </a:ext>
          </a:extLst>
        </xdr:cNvPr>
        <xdr:cNvSpPr txBox="1"/>
      </xdr:nvSpPr>
      <xdr:spPr>
        <a:xfrm>
          <a:off x="8267700" y="38107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1602" name="TextBox 1601">
          <a:extLst>
            <a:ext uri="{FF2B5EF4-FFF2-40B4-BE49-F238E27FC236}">
              <a16:creationId xmlns:a16="http://schemas.microsoft.com/office/drawing/2014/main" id="{00000000-0008-0000-0000-000007000000}"/>
            </a:ext>
          </a:extLst>
        </xdr:cNvPr>
        <xdr:cNvSpPr txBox="1"/>
      </xdr:nvSpPr>
      <xdr:spPr>
        <a:xfrm>
          <a:off x="8267700" y="38107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1603" name="TextBox 1602">
          <a:extLst>
            <a:ext uri="{FF2B5EF4-FFF2-40B4-BE49-F238E27FC236}">
              <a16:creationId xmlns:a16="http://schemas.microsoft.com/office/drawing/2014/main" id="{00000000-0008-0000-0000-000007000000}"/>
            </a:ext>
          </a:extLst>
        </xdr:cNvPr>
        <xdr:cNvSpPr txBox="1"/>
      </xdr:nvSpPr>
      <xdr:spPr>
        <a:xfrm>
          <a:off x="8267700" y="3829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1604" name="TextBox 1603">
          <a:extLst>
            <a:ext uri="{FF2B5EF4-FFF2-40B4-BE49-F238E27FC236}">
              <a16:creationId xmlns:a16="http://schemas.microsoft.com/office/drawing/2014/main" id="{00000000-0008-0000-0000-000007000000}"/>
            </a:ext>
          </a:extLst>
        </xdr:cNvPr>
        <xdr:cNvSpPr txBox="1"/>
      </xdr:nvSpPr>
      <xdr:spPr>
        <a:xfrm>
          <a:off x="8267700" y="3829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1605" name="TextBox 1604">
          <a:extLst>
            <a:ext uri="{FF2B5EF4-FFF2-40B4-BE49-F238E27FC236}">
              <a16:creationId xmlns:a16="http://schemas.microsoft.com/office/drawing/2014/main" id="{00000000-0008-0000-0000-000007000000}"/>
            </a:ext>
          </a:extLst>
        </xdr:cNvPr>
        <xdr:cNvSpPr txBox="1"/>
      </xdr:nvSpPr>
      <xdr:spPr>
        <a:xfrm>
          <a:off x="8267700" y="3847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1606" name="TextBox 1605">
          <a:extLst>
            <a:ext uri="{FF2B5EF4-FFF2-40B4-BE49-F238E27FC236}">
              <a16:creationId xmlns:a16="http://schemas.microsoft.com/office/drawing/2014/main" id="{00000000-0008-0000-0000-000007000000}"/>
            </a:ext>
          </a:extLst>
        </xdr:cNvPr>
        <xdr:cNvSpPr txBox="1"/>
      </xdr:nvSpPr>
      <xdr:spPr>
        <a:xfrm>
          <a:off x="8267700" y="3847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1607" name="TextBox 1606">
          <a:extLst>
            <a:ext uri="{FF2B5EF4-FFF2-40B4-BE49-F238E27FC236}">
              <a16:creationId xmlns:a16="http://schemas.microsoft.com/office/drawing/2014/main" id="{00000000-0008-0000-0000-000007000000}"/>
            </a:ext>
          </a:extLst>
        </xdr:cNvPr>
        <xdr:cNvSpPr txBox="1"/>
      </xdr:nvSpPr>
      <xdr:spPr>
        <a:xfrm>
          <a:off x="8267700" y="3865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1608" name="TextBox 1607">
          <a:extLst>
            <a:ext uri="{FF2B5EF4-FFF2-40B4-BE49-F238E27FC236}">
              <a16:creationId xmlns:a16="http://schemas.microsoft.com/office/drawing/2014/main" id="{00000000-0008-0000-0000-000007000000}"/>
            </a:ext>
          </a:extLst>
        </xdr:cNvPr>
        <xdr:cNvSpPr txBox="1"/>
      </xdr:nvSpPr>
      <xdr:spPr>
        <a:xfrm>
          <a:off x="8267700" y="3865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1609" name="TextBox 1608">
          <a:extLst>
            <a:ext uri="{FF2B5EF4-FFF2-40B4-BE49-F238E27FC236}">
              <a16:creationId xmlns:a16="http://schemas.microsoft.com/office/drawing/2014/main" id="{00000000-0008-0000-0000-000007000000}"/>
            </a:ext>
          </a:extLst>
        </xdr:cNvPr>
        <xdr:cNvSpPr txBox="1"/>
      </xdr:nvSpPr>
      <xdr:spPr>
        <a:xfrm>
          <a:off x="8267700" y="38839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1610" name="TextBox 1609">
          <a:extLst>
            <a:ext uri="{FF2B5EF4-FFF2-40B4-BE49-F238E27FC236}">
              <a16:creationId xmlns:a16="http://schemas.microsoft.com/office/drawing/2014/main" id="{00000000-0008-0000-0000-000007000000}"/>
            </a:ext>
          </a:extLst>
        </xdr:cNvPr>
        <xdr:cNvSpPr txBox="1"/>
      </xdr:nvSpPr>
      <xdr:spPr>
        <a:xfrm>
          <a:off x="8267700" y="38839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188</xdr:row>
      <xdr:rowOff>0</xdr:rowOff>
    </xdr:from>
    <xdr:ext cx="65" cy="172227"/>
    <xdr:sp macro="" textlink="">
      <xdr:nvSpPr>
        <xdr:cNvPr id="1611" name="TextBox 1610">
          <a:extLst>
            <a:ext uri="{FF2B5EF4-FFF2-40B4-BE49-F238E27FC236}">
              <a16:creationId xmlns:a16="http://schemas.microsoft.com/office/drawing/2014/main" id="{00000000-0008-0000-0000-000007000000}"/>
            </a:ext>
          </a:extLst>
        </xdr:cNvPr>
        <xdr:cNvSpPr txBox="1"/>
      </xdr:nvSpPr>
      <xdr:spPr>
        <a:xfrm>
          <a:off x="8267700" y="3993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188</xdr:row>
      <xdr:rowOff>0</xdr:rowOff>
    </xdr:from>
    <xdr:ext cx="65" cy="172227"/>
    <xdr:sp macro="" textlink="">
      <xdr:nvSpPr>
        <xdr:cNvPr id="1612" name="TextBox 1611">
          <a:extLst>
            <a:ext uri="{FF2B5EF4-FFF2-40B4-BE49-F238E27FC236}">
              <a16:creationId xmlns:a16="http://schemas.microsoft.com/office/drawing/2014/main" id="{00000000-0008-0000-0000-000007000000}"/>
            </a:ext>
          </a:extLst>
        </xdr:cNvPr>
        <xdr:cNvSpPr txBox="1"/>
      </xdr:nvSpPr>
      <xdr:spPr>
        <a:xfrm>
          <a:off x="8267700" y="3993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189</xdr:row>
      <xdr:rowOff>0</xdr:rowOff>
    </xdr:from>
    <xdr:ext cx="65" cy="172227"/>
    <xdr:sp macro="" textlink="">
      <xdr:nvSpPr>
        <xdr:cNvPr id="1613" name="TextBox 1612">
          <a:extLst>
            <a:ext uri="{FF2B5EF4-FFF2-40B4-BE49-F238E27FC236}">
              <a16:creationId xmlns:a16="http://schemas.microsoft.com/office/drawing/2014/main" id="{00000000-0008-0000-0000-000007000000}"/>
            </a:ext>
          </a:extLst>
        </xdr:cNvPr>
        <xdr:cNvSpPr txBox="1"/>
      </xdr:nvSpPr>
      <xdr:spPr>
        <a:xfrm>
          <a:off x="8267700" y="40119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189</xdr:row>
      <xdr:rowOff>0</xdr:rowOff>
    </xdr:from>
    <xdr:ext cx="65" cy="172227"/>
    <xdr:sp macro="" textlink="">
      <xdr:nvSpPr>
        <xdr:cNvPr id="1614" name="TextBox 1613">
          <a:extLst>
            <a:ext uri="{FF2B5EF4-FFF2-40B4-BE49-F238E27FC236}">
              <a16:creationId xmlns:a16="http://schemas.microsoft.com/office/drawing/2014/main" id="{00000000-0008-0000-0000-000007000000}"/>
            </a:ext>
          </a:extLst>
        </xdr:cNvPr>
        <xdr:cNvSpPr txBox="1"/>
      </xdr:nvSpPr>
      <xdr:spPr>
        <a:xfrm>
          <a:off x="8267700" y="40119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190</xdr:row>
      <xdr:rowOff>0</xdr:rowOff>
    </xdr:from>
    <xdr:ext cx="65" cy="172227"/>
    <xdr:sp macro="" textlink="">
      <xdr:nvSpPr>
        <xdr:cNvPr id="1615" name="TextBox 1614">
          <a:extLst>
            <a:ext uri="{FF2B5EF4-FFF2-40B4-BE49-F238E27FC236}">
              <a16:creationId xmlns:a16="http://schemas.microsoft.com/office/drawing/2014/main" id="{00000000-0008-0000-0000-000007000000}"/>
            </a:ext>
          </a:extLst>
        </xdr:cNvPr>
        <xdr:cNvSpPr txBox="1"/>
      </xdr:nvSpPr>
      <xdr:spPr>
        <a:xfrm>
          <a:off x="8267700" y="40302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190</xdr:row>
      <xdr:rowOff>0</xdr:rowOff>
    </xdr:from>
    <xdr:ext cx="65" cy="172227"/>
    <xdr:sp macro="" textlink="">
      <xdr:nvSpPr>
        <xdr:cNvPr id="1616" name="TextBox 1615">
          <a:extLst>
            <a:ext uri="{FF2B5EF4-FFF2-40B4-BE49-F238E27FC236}">
              <a16:creationId xmlns:a16="http://schemas.microsoft.com/office/drawing/2014/main" id="{00000000-0008-0000-0000-000007000000}"/>
            </a:ext>
          </a:extLst>
        </xdr:cNvPr>
        <xdr:cNvSpPr txBox="1"/>
      </xdr:nvSpPr>
      <xdr:spPr>
        <a:xfrm>
          <a:off x="8267700" y="40302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191</xdr:row>
      <xdr:rowOff>0</xdr:rowOff>
    </xdr:from>
    <xdr:ext cx="65" cy="172227"/>
    <xdr:sp macro="" textlink="">
      <xdr:nvSpPr>
        <xdr:cNvPr id="1617" name="TextBox 1616">
          <a:extLst>
            <a:ext uri="{FF2B5EF4-FFF2-40B4-BE49-F238E27FC236}">
              <a16:creationId xmlns:a16="http://schemas.microsoft.com/office/drawing/2014/main" id="{00000000-0008-0000-0000-000007000000}"/>
            </a:ext>
          </a:extLst>
        </xdr:cNvPr>
        <xdr:cNvSpPr txBox="1"/>
      </xdr:nvSpPr>
      <xdr:spPr>
        <a:xfrm>
          <a:off x="8267700" y="40485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191</xdr:row>
      <xdr:rowOff>0</xdr:rowOff>
    </xdr:from>
    <xdr:ext cx="65" cy="172227"/>
    <xdr:sp macro="" textlink="">
      <xdr:nvSpPr>
        <xdr:cNvPr id="1618" name="TextBox 1617">
          <a:extLst>
            <a:ext uri="{FF2B5EF4-FFF2-40B4-BE49-F238E27FC236}">
              <a16:creationId xmlns:a16="http://schemas.microsoft.com/office/drawing/2014/main" id="{00000000-0008-0000-0000-000007000000}"/>
            </a:ext>
          </a:extLst>
        </xdr:cNvPr>
        <xdr:cNvSpPr txBox="1"/>
      </xdr:nvSpPr>
      <xdr:spPr>
        <a:xfrm>
          <a:off x="8267700" y="40485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192</xdr:row>
      <xdr:rowOff>0</xdr:rowOff>
    </xdr:from>
    <xdr:ext cx="65" cy="172227"/>
    <xdr:sp macro="" textlink="">
      <xdr:nvSpPr>
        <xdr:cNvPr id="1619" name="TextBox 1618">
          <a:extLst>
            <a:ext uri="{FF2B5EF4-FFF2-40B4-BE49-F238E27FC236}">
              <a16:creationId xmlns:a16="http://schemas.microsoft.com/office/drawing/2014/main" id="{00000000-0008-0000-0000-000007000000}"/>
            </a:ext>
          </a:extLst>
        </xdr:cNvPr>
        <xdr:cNvSpPr txBox="1"/>
      </xdr:nvSpPr>
      <xdr:spPr>
        <a:xfrm>
          <a:off x="8267700" y="40667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192</xdr:row>
      <xdr:rowOff>0</xdr:rowOff>
    </xdr:from>
    <xdr:ext cx="65" cy="172227"/>
    <xdr:sp macro="" textlink="">
      <xdr:nvSpPr>
        <xdr:cNvPr id="1620" name="TextBox 1619">
          <a:extLst>
            <a:ext uri="{FF2B5EF4-FFF2-40B4-BE49-F238E27FC236}">
              <a16:creationId xmlns:a16="http://schemas.microsoft.com/office/drawing/2014/main" id="{00000000-0008-0000-0000-000007000000}"/>
            </a:ext>
          </a:extLst>
        </xdr:cNvPr>
        <xdr:cNvSpPr txBox="1"/>
      </xdr:nvSpPr>
      <xdr:spPr>
        <a:xfrm>
          <a:off x="8267700" y="40667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198</xdr:row>
      <xdr:rowOff>0</xdr:rowOff>
    </xdr:from>
    <xdr:ext cx="65" cy="172227"/>
    <xdr:sp macro="" textlink="">
      <xdr:nvSpPr>
        <xdr:cNvPr id="1621" name="TextBox 1620">
          <a:extLst>
            <a:ext uri="{FF2B5EF4-FFF2-40B4-BE49-F238E27FC236}">
              <a16:creationId xmlns:a16="http://schemas.microsoft.com/office/drawing/2014/main" id="{00000000-0008-0000-0000-000007000000}"/>
            </a:ext>
          </a:extLst>
        </xdr:cNvPr>
        <xdr:cNvSpPr txBox="1"/>
      </xdr:nvSpPr>
      <xdr:spPr>
        <a:xfrm>
          <a:off x="8267700" y="4176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198</xdr:row>
      <xdr:rowOff>0</xdr:rowOff>
    </xdr:from>
    <xdr:ext cx="65" cy="172227"/>
    <xdr:sp macro="" textlink="">
      <xdr:nvSpPr>
        <xdr:cNvPr id="1622" name="TextBox 1621">
          <a:extLst>
            <a:ext uri="{FF2B5EF4-FFF2-40B4-BE49-F238E27FC236}">
              <a16:creationId xmlns:a16="http://schemas.microsoft.com/office/drawing/2014/main" id="{00000000-0008-0000-0000-000007000000}"/>
            </a:ext>
          </a:extLst>
        </xdr:cNvPr>
        <xdr:cNvSpPr txBox="1"/>
      </xdr:nvSpPr>
      <xdr:spPr>
        <a:xfrm>
          <a:off x="8267700" y="4176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199</xdr:row>
      <xdr:rowOff>0</xdr:rowOff>
    </xdr:from>
    <xdr:ext cx="65" cy="172227"/>
    <xdr:sp macro="" textlink="">
      <xdr:nvSpPr>
        <xdr:cNvPr id="1623" name="TextBox 1622">
          <a:extLst>
            <a:ext uri="{FF2B5EF4-FFF2-40B4-BE49-F238E27FC236}">
              <a16:creationId xmlns:a16="http://schemas.microsoft.com/office/drawing/2014/main" id="{00000000-0008-0000-0000-000007000000}"/>
            </a:ext>
          </a:extLst>
        </xdr:cNvPr>
        <xdr:cNvSpPr txBox="1"/>
      </xdr:nvSpPr>
      <xdr:spPr>
        <a:xfrm>
          <a:off x="8267700" y="41948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199</xdr:row>
      <xdr:rowOff>0</xdr:rowOff>
    </xdr:from>
    <xdr:ext cx="65" cy="172227"/>
    <xdr:sp macro="" textlink="">
      <xdr:nvSpPr>
        <xdr:cNvPr id="1624" name="TextBox 1623">
          <a:extLst>
            <a:ext uri="{FF2B5EF4-FFF2-40B4-BE49-F238E27FC236}">
              <a16:creationId xmlns:a16="http://schemas.microsoft.com/office/drawing/2014/main" id="{00000000-0008-0000-0000-000007000000}"/>
            </a:ext>
          </a:extLst>
        </xdr:cNvPr>
        <xdr:cNvSpPr txBox="1"/>
      </xdr:nvSpPr>
      <xdr:spPr>
        <a:xfrm>
          <a:off x="8267700" y="41948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200</xdr:row>
      <xdr:rowOff>0</xdr:rowOff>
    </xdr:from>
    <xdr:ext cx="65" cy="172227"/>
    <xdr:sp macro="" textlink="">
      <xdr:nvSpPr>
        <xdr:cNvPr id="1625" name="TextBox 1624">
          <a:extLst>
            <a:ext uri="{FF2B5EF4-FFF2-40B4-BE49-F238E27FC236}">
              <a16:creationId xmlns:a16="http://schemas.microsoft.com/office/drawing/2014/main" id="{00000000-0008-0000-0000-000007000000}"/>
            </a:ext>
          </a:extLst>
        </xdr:cNvPr>
        <xdr:cNvSpPr txBox="1"/>
      </xdr:nvSpPr>
      <xdr:spPr>
        <a:xfrm>
          <a:off x="8267700" y="4213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200</xdr:row>
      <xdr:rowOff>0</xdr:rowOff>
    </xdr:from>
    <xdr:ext cx="65" cy="172227"/>
    <xdr:sp macro="" textlink="">
      <xdr:nvSpPr>
        <xdr:cNvPr id="1626" name="TextBox 1625">
          <a:extLst>
            <a:ext uri="{FF2B5EF4-FFF2-40B4-BE49-F238E27FC236}">
              <a16:creationId xmlns:a16="http://schemas.microsoft.com/office/drawing/2014/main" id="{00000000-0008-0000-0000-000007000000}"/>
            </a:ext>
          </a:extLst>
        </xdr:cNvPr>
        <xdr:cNvSpPr txBox="1"/>
      </xdr:nvSpPr>
      <xdr:spPr>
        <a:xfrm>
          <a:off x="8267700" y="4213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201</xdr:row>
      <xdr:rowOff>0</xdr:rowOff>
    </xdr:from>
    <xdr:ext cx="65" cy="172227"/>
    <xdr:sp macro="" textlink="">
      <xdr:nvSpPr>
        <xdr:cNvPr id="1627" name="TextBox 1626">
          <a:extLst>
            <a:ext uri="{FF2B5EF4-FFF2-40B4-BE49-F238E27FC236}">
              <a16:creationId xmlns:a16="http://schemas.microsoft.com/office/drawing/2014/main" id="{00000000-0008-0000-0000-000007000000}"/>
            </a:ext>
          </a:extLst>
        </xdr:cNvPr>
        <xdr:cNvSpPr txBox="1"/>
      </xdr:nvSpPr>
      <xdr:spPr>
        <a:xfrm>
          <a:off x="8267700" y="42313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201</xdr:row>
      <xdr:rowOff>0</xdr:rowOff>
    </xdr:from>
    <xdr:ext cx="65" cy="172227"/>
    <xdr:sp macro="" textlink="">
      <xdr:nvSpPr>
        <xdr:cNvPr id="1628" name="TextBox 1627">
          <a:extLst>
            <a:ext uri="{FF2B5EF4-FFF2-40B4-BE49-F238E27FC236}">
              <a16:creationId xmlns:a16="http://schemas.microsoft.com/office/drawing/2014/main" id="{00000000-0008-0000-0000-000007000000}"/>
            </a:ext>
          </a:extLst>
        </xdr:cNvPr>
        <xdr:cNvSpPr txBox="1"/>
      </xdr:nvSpPr>
      <xdr:spPr>
        <a:xfrm>
          <a:off x="8267700" y="42313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202</xdr:row>
      <xdr:rowOff>0</xdr:rowOff>
    </xdr:from>
    <xdr:ext cx="65" cy="172227"/>
    <xdr:sp macro="" textlink="">
      <xdr:nvSpPr>
        <xdr:cNvPr id="1629" name="TextBox 1628">
          <a:extLst>
            <a:ext uri="{FF2B5EF4-FFF2-40B4-BE49-F238E27FC236}">
              <a16:creationId xmlns:a16="http://schemas.microsoft.com/office/drawing/2014/main" id="{00000000-0008-0000-0000-000007000000}"/>
            </a:ext>
          </a:extLst>
        </xdr:cNvPr>
        <xdr:cNvSpPr txBox="1"/>
      </xdr:nvSpPr>
      <xdr:spPr>
        <a:xfrm>
          <a:off x="8267700" y="42496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202</xdr:row>
      <xdr:rowOff>0</xdr:rowOff>
    </xdr:from>
    <xdr:ext cx="65" cy="172227"/>
    <xdr:sp macro="" textlink="">
      <xdr:nvSpPr>
        <xdr:cNvPr id="1630" name="TextBox 1629">
          <a:extLst>
            <a:ext uri="{FF2B5EF4-FFF2-40B4-BE49-F238E27FC236}">
              <a16:creationId xmlns:a16="http://schemas.microsoft.com/office/drawing/2014/main" id="{00000000-0008-0000-0000-000007000000}"/>
            </a:ext>
          </a:extLst>
        </xdr:cNvPr>
        <xdr:cNvSpPr txBox="1"/>
      </xdr:nvSpPr>
      <xdr:spPr>
        <a:xfrm>
          <a:off x="8267700" y="42496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31" name="TextBox 1630">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32" name="TextBox 1631">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33" name="TextBox 1632">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34" name="TextBox 1633">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635" name="TextBox 1634">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636" name="TextBox 1635">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637" name="TextBox 1636">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638" name="TextBox 1637">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639" name="TextBox 1638">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640" name="TextBox 1639">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41" name="TextBox 1640">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42" name="TextBox 1641">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43" name="TextBox 1642">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44" name="TextBox 1643">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45" name="TextBox 1644">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46" name="TextBox 1645">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47" name="TextBox 1646">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48" name="TextBox 1647">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49" name="TextBox 1648">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50" name="TextBox 1649">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51" name="TextBox 1650">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52" name="TextBox 1651">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653" name="TextBox 1652">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654" name="TextBox 1653">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655" name="TextBox 1654">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656" name="TextBox 1655">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57" name="TextBox 1656">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58" name="TextBox 1657">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59" name="TextBox 1658">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60" name="TextBox 1659">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61" name="TextBox 1660">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62" name="TextBox 1661">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63" name="TextBox 1662">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64" name="TextBox 1663">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65" name="TextBox 1664">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66" name="TextBox 1665">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67" name="TextBox 1666">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68" name="TextBox 1667">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69" name="TextBox 1668">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70" name="TextBox 1669">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71" name="TextBox 1670">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72" name="TextBox 1671">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73" name="TextBox 1672">
          <a:extLst>
            <a:ext uri="{FF2B5EF4-FFF2-40B4-BE49-F238E27FC236}">
              <a16:creationId xmlns:a16="http://schemas.microsoft.com/office/drawing/2014/main" id="{00000000-0008-0000-0000-000007000000}"/>
            </a:ext>
          </a:extLst>
        </xdr:cNvPr>
        <xdr:cNvSpPr txBox="1"/>
      </xdr:nvSpPr>
      <xdr:spPr>
        <a:xfrm>
          <a:off x="1213866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74" name="TextBox 1673">
          <a:extLst>
            <a:ext uri="{FF2B5EF4-FFF2-40B4-BE49-F238E27FC236}">
              <a16:creationId xmlns:a16="http://schemas.microsoft.com/office/drawing/2014/main" id="{00000000-0008-0000-0000-000007000000}"/>
            </a:ext>
          </a:extLst>
        </xdr:cNvPr>
        <xdr:cNvSpPr txBox="1"/>
      </xdr:nvSpPr>
      <xdr:spPr>
        <a:xfrm>
          <a:off x="1213866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75" name="TextBox 1674">
          <a:extLst>
            <a:ext uri="{FF2B5EF4-FFF2-40B4-BE49-F238E27FC236}">
              <a16:creationId xmlns:a16="http://schemas.microsoft.com/office/drawing/2014/main" id="{00000000-0008-0000-0000-000007000000}"/>
            </a:ext>
          </a:extLst>
        </xdr:cNvPr>
        <xdr:cNvSpPr txBox="1"/>
      </xdr:nvSpPr>
      <xdr:spPr>
        <a:xfrm>
          <a:off x="1213866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76" name="TextBox 1675">
          <a:extLst>
            <a:ext uri="{FF2B5EF4-FFF2-40B4-BE49-F238E27FC236}">
              <a16:creationId xmlns:a16="http://schemas.microsoft.com/office/drawing/2014/main" id="{00000000-0008-0000-0000-000007000000}"/>
            </a:ext>
          </a:extLst>
        </xdr:cNvPr>
        <xdr:cNvSpPr txBox="1"/>
      </xdr:nvSpPr>
      <xdr:spPr>
        <a:xfrm>
          <a:off x="1213866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77" name="TextBox 1676">
          <a:extLst>
            <a:ext uri="{FF2B5EF4-FFF2-40B4-BE49-F238E27FC236}">
              <a16:creationId xmlns:a16="http://schemas.microsoft.com/office/drawing/2014/main" id="{00000000-0008-0000-0000-000007000000}"/>
            </a:ext>
          </a:extLst>
        </xdr:cNvPr>
        <xdr:cNvSpPr txBox="1"/>
      </xdr:nvSpPr>
      <xdr:spPr>
        <a:xfrm>
          <a:off x="1213866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78" name="TextBox 1677">
          <a:extLst>
            <a:ext uri="{FF2B5EF4-FFF2-40B4-BE49-F238E27FC236}">
              <a16:creationId xmlns:a16="http://schemas.microsoft.com/office/drawing/2014/main" id="{00000000-0008-0000-0000-000007000000}"/>
            </a:ext>
          </a:extLst>
        </xdr:cNvPr>
        <xdr:cNvSpPr txBox="1"/>
      </xdr:nvSpPr>
      <xdr:spPr>
        <a:xfrm>
          <a:off x="1213866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79" name="TextBox 1678">
          <a:extLst>
            <a:ext uri="{FF2B5EF4-FFF2-40B4-BE49-F238E27FC236}">
              <a16:creationId xmlns:a16="http://schemas.microsoft.com/office/drawing/2014/main" id="{00000000-0008-0000-0000-000007000000}"/>
            </a:ext>
          </a:extLst>
        </xdr:cNvPr>
        <xdr:cNvSpPr txBox="1"/>
      </xdr:nvSpPr>
      <xdr:spPr>
        <a:xfrm>
          <a:off x="1213866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80" name="TextBox 1679">
          <a:extLst>
            <a:ext uri="{FF2B5EF4-FFF2-40B4-BE49-F238E27FC236}">
              <a16:creationId xmlns:a16="http://schemas.microsoft.com/office/drawing/2014/main" id="{00000000-0008-0000-0000-000007000000}"/>
            </a:ext>
          </a:extLst>
        </xdr:cNvPr>
        <xdr:cNvSpPr txBox="1"/>
      </xdr:nvSpPr>
      <xdr:spPr>
        <a:xfrm>
          <a:off x="1213866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681" name="TextBox 1680">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682" name="TextBox 1681">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683" name="TextBox 1682">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684" name="TextBox 1683">
          <a:extLst>
            <a:ext uri="{FF2B5EF4-FFF2-40B4-BE49-F238E27FC236}">
              <a16:creationId xmlns:a16="http://schemas.microsoft.com/office/drawing/2014/main" id="{00000000-0008-0000-0000-000007000000}"/>
            </a:ext>
          </a:extLst>
        </xdr:cNvPr>
        <xdr:cNvSpPr txBox="1"/>
      </xdr:nvSpPr>
      <xdr:spPr>
        <a:xfrm>
          <a:off x="8267700" y="3365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85" name="TextBox 1684">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86" name="TextBox 1685">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87" name="TextBox 1686">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88" name="TextBox 1687">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89" name="TextBox 1688">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90" name="TextBox 1689">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91" name="TextBox 1690">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92" name="TextBox 1691">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93" name="TextBox 1692">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94" name="TextBox 1693">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95" name="TextBox 1694">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1696" name="TextBox 1695">
          <a:extLst>
            <a:ext uri="{FF2B5EF4-FFF2-40B4-BE49-F238E27FC236}">
              <a16:creationId xmlns:a16="http://schemas.microsoft.com/office/drawing/2014/main" id="{00000000-0008-0000-0000-000007000000}"/>
            </a:ext>
          </a:extLst>
        </xdr:cNvPr>
        <xdr:cNvSpPr txBox="1"/>
      </xdr:nvSpPr>
      <xdr:spPr>
        <a:xfrm>
          <a:off x="8267700" y="33855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97" name="TextBox 1696">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98" name="TextBox 1697">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699" name="TextBox 1698">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00" name="TextBox 1699">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01" name="TextBox 1700">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02" name="TextBox 1701">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03" name="TextBox 1702">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04" name="TextBox 1703">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05" name="TextBox 1704">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06" name="TextBox 1705">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07" name="TextBox 1706">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08" name="TextBox 1707">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09" name="TextBox 1708">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10" name="TextBox 1709">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11" name="TextBox 1710">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12" name="TextBox 1711">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13" name="TextBox 1712">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14" name="TextBox 1713">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15" name="TextBox 1714">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16" name="TextBox 1715">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17" name="TextBox 1716">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18" name="TextBox 1717">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19" name="TextBox 1718">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20" name="TextBox 1719">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21" name="TextBox 1720">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22" name="TextBox 1721">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23" name="TextBox 1722">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24" name="TextBox 1723">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25" name="TextBox 1724">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26" name="TextBox 1725">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27" name="TextBox 1726">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28" name="TextBox 1727">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29" name="TextBox 1728">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30" name="TextBox 1729">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31" name="TextBox 1730">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32" name="TextBox 1731">
          <a:extLst>
            <a:ext uri="{FF2B5EF4-FFF2-40B4-BE49-F238E27FC236}">
              <a16:creationId xmlns:a16="http://schemas.microsoft.com/office/drawing/2014/main" id="{00000000-0008-0000-0000-000007000000}"/>
            </a:ext>
          </a:extLst>
        </xdr:cNvPr>
        <xdr:cNvSpPr txBox="1"/>
      </xdr:nvSpPr>
      <xdr:spPr>
        <a:xfrm>
          <a:off x="826770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33" name="TextBox 1732">
          <a:extLst>
            <a:ext uri="{FF2B5EF4-FFF2-40B4-BE49-F238E27FC236}">
              <a16:creationId xmlns:a16="http://schemas.microsoft.com/office/drawing/2014/main" id="{00000000-0008-0000-0000-000007000000}"/>
            </a:ext>
          </a:extLst>
        </xdr:cNvPr>
        <xdr:cNvSpPr txBox="1"/>
      </xdr:nvSpPr>
      <xdr:spPr>
        <a:xfrm>
          <a:off x="1213866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34" name="TextBox 1733">
          <a:extLst>
            <a:ext uri="{FF2B5EF4-FFF2-40B4-BE49-F238E27FC236}">
              <a16:creationId xmlns:a16="http://schemas.microsoft.com/office/drawing/2014/main" id="{00000000-0008-0000-0000-000007000000}"/>
            </a:ext>
          </a:extLst>
        </xdr:cNvPr>
        <xdr:cNvSpPr txBox="1"/>
      </xdr:nvSpPr>
      <xdr:spPr>
        <a:xfrm>
          <a:off x="1213866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35" name="TextBox 1734">
          <a:extLst>
            <a:ext uri="{FF2B5EF4-FFF2-40B4-BE49-F238E27FC236}">
              <a16:creationId xmlns:a16="http://schemas.microsoft.com/office/drawing/2014/main" id="{00000000-0008-0000-0000-000007000000}"/>
            </a:ext>
          </a:extLst>
        </xdr:cNvPr>
        <xdr:cNvSpPr txBox="1"/>
      </xdr:nvSpPr>
      <xdr:spPr>
        <a:xfrm>
          <a:off x="1213866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36" name="TextBox 1735">
          <a:extLst>
            <a:ext uri="{FF2B5EF4-FFF2-40B4-BE49-F238E27FC236}">
              <a16:creationId xmlns:a16="http://schemas.microsoft.com/office/drawing/2014/main" id="{00000000-0008-0000-0000-000007000000}"/>
            </a:ext>
          </a:extLst>
        </xdr:cNvPr>
        <xdr:cNvSpPr txBox="1"/>
      </xdr:nvSpPr>
      <xdr:spPr>
        <a:xfrm>
          <a:off x="1213866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37" name="TextBox 1736">
          <a:extLst>
            <a:ext uri="{FF2B5EF4-FFF2-40B4-BE49-F238E27FC236}">
              <a16:creationId xmlns:a16="http://schemas.microsoft.com/office/drawing/2014/main" id="{00000000-0008-0000-0000-000007000000}"/>
            </a:ext>
          </a:extLst>
        </xdr:cNvPr>
        <xdr:cNvSpPr txBox="1"/>
      </xdr:nvSpPr>
      <xdr:spPr>
        <a:xfrm>
          <a:off x="1213866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38" name="TextBox 1737">
          <a:extLst>
            <a:ext uri="{FF2B5EF4-FFF2-40B4-BE49-F238E27FC236}">
              <a16:creationId xmlns:a16="http://schemas.microsoft.com/office/drawing/2014/main" id="{00000000-0008-0000-0000-000007000000}"/>
            </a:ext>
          </a:extLst>
        </xdr:cNvPr>
        <xdr:cNvSpPr txBox="1"/>
      </xdr:nvSpPr>
      <xdr:spPr>
        <a:xfrm>
          <a:off x="1213866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39" name="TextBox 1738">
          <a:extLst>
            <a:ext uri="{FF2B5EF4-FFF2-40B4-BE49-F238E27FC236}">
              <a16:creationId xmlns:a16="http://schemas.microsoft.com/office/drawing/2014/main" id="{00000000-0008-0000-0000-000007000000}"/>
            </a:ext>
          </a:extLst>
        </xdr:cNvPr>
        <xdr:cNvSpPr txBox="1"/>
      </xdr:nvSpPr>
      <xdr:spPr>
        <a:xfrm>
          <a:off x="1213866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1740" name="TextBox 1739">
          <a:extLst>
            <a:ext uri="{FF2B5EF4-FFF2-40B4-BE49-F238E27FC236}">
              <a16:creationId xmlns:a16="http://schemas.microsoft.com/office/drawing/2014/main" id="{00000000-0008-0000-0000-000007000000}"/>
            </a:ext>
          </a:extLst>
        </xdr:cNvPr>
        <xdr:cNvSpPr txBox="1"/>
      </xdr:nvSpPr>
      <xdr:spPr>
        <a:xfrm>
          <a:off x="12138660" y="34053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41" name="TextBox 1740">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42" name="TextBox 1741">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43" name="TextBox 1742">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44" name="TextBox 1743">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45" name="TextBox 1744">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46" name="TextBox 1745">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47" name="TextBox 1746">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48" name="TextBox 1747">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49" name="TextBox 1748">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50" name="TextBox 1749">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51" name="TextBox 1750">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52" name="TextBox 1751">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53" name="TextBox 1752">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54" name="TextBox 1753">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55" name="TextBox 1754">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56" name="TextBox 1755">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57" name="TextBox 1756">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58" name="TextBox 1757">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59" name="TextBox 1758">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60" name="TextBox 1759">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61" name="TextBox 1760">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62" name="TextBox 1761">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63" name="TextBox 1762">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64" name="TextBox 1763">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65" name="TextBox 1764">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66" name="TextBox 1765">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67" name="TextBox 1766">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68" name="TextBox 1767">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69" name="TextBox 1768">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70" name="TextBox 1769">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71" name="TextBox 1770">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72" name="TextBox 1771">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73" name="TextBox 1772">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74" name="TextBox 1773">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75" name="TextBox 1774">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76" name="TextBox 1775">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77" name="TextBox 1776">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78" name="TextBox 1777">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79" name="TextBox 1778">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80" name="TextBox 1779">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81" name="TextBox 1780">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82" name="TextBox 1781">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83" name="TextBox 1782">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84" name="TextBox 1783">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85" name="TextBox 1784">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86" name="TextBox 1785">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87" name="TextBox 1786">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88" name="TextBox 1787">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89" name="TextBox 1788">
          <a:extLst>
            <a:ext uri="{FF2B5EF4-FFF2-40B4-BE49-F238E27FC236}">
              <a16:creationId xmlns:a16="http://schemas.microsoft.com/office/drawing/2014/main" id="{00000000-0008-0000-0000-000007000000}"/>
            </a:ext>
          </a:extLst>
        </xdr:cNvPr>
        <xdr:cNvSpPr txBox="1"/>
      </xdr:nvSpPr>
      <xdr:spPr>
        <a:xfrm>
          <a:off x="1213866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90" name="TextBox 1789">
          <a:extLst>
            <a:ext uri="{FF2B5EF4-FFF2-40B4-BE49-F238E27FC236}">
              <a16:creationId xmlns:a16="http://schemas.microsoft.com/office/drawing/2014/main" id="{00000000-0008-0000-0000-000007000000}"/>
            </a:ext>
          </a:extLst>
        </xdr:cNvPr>
        <xdr:cNvSpPr txBox="1"/>
      </xdr:nvSpPr>
      <xdr:spPr>
        <a:xfrm>
          <a:off x="1213866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91" name="TextBox 1790">
          <a:extLst>
            <a:ext uri="{FF2B5EF4-FFF2-40B4-BE49-F238E27FC236}">
              <a16:creationId xmlns:a16="http://schemas.microsoft.com/office/drawing/2014/main" id="{00000000-0008-0000-0000-000007000000}"/>
            </a:ext>
          </a:extLst>
        </xdr:cNvPr>
        <xdr:cNvSpPr txBox="1"/>
      </xdr:nvSpPr>
      <xdr:spPr>
        <a:xfrm>
          <a:off x="1213866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92" name="TextBox 1791">
          <a:extLst>
            <a:ext uri="{FF2B5EF4-FFF2-40B4-BE49-F238E27FC236}">
              <a16:creationId xmlns:a16="http://schemas.microsoft.com/office/drawing/2014/main" id="{00000000-0008-0000-0000-000007000000}"/>
            </a:ext>
          </a:extLst>
        </xdr:cNvPr>
        <xdr:cNvSpPr txBox="1"/>
      </xdr:nvSpPr>
      <xdr:spPr>
        <a:xfrm>
          <a:off x="1213866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93" name="TextBox 1792">
          <a:extLst>
            <a:ext uri="{FF2B5EF4-FFF2-40B4-BE49-F238E27FC236}">
              <a16:creationId xmlns:a16="http://schemas.microsoft.com/office/drawing/2014/main" id="{00000000-0008-0000-0000-000007000000}"/>
            </a:ext>
          </a:extLst>
        </xdr:cNvPr>
        <xdr:cNvSpPr txBox="1"/>
      </xdr:nvSpPr>
      <xdr:spPr>
        <a:xfrm>
          <a:off x="1213866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94" name="TextBox 1793">
          <a:extLst>
            <a:ext uri="{FF2B5EF4-FFF2-40B4-BE49-F238E27FC236}">
              <a16:creationId xmlns:a16="http://schemas.microsoft.com/office/drawing/2014/main" id="{00000000-0008-0000-0000-000007000000}"/>
            </a:ext>
          </a:extLst>
        </xdr:cNvPr>
        <xdr:cNvSpPr txBox="1"/>
      </xdr:nvSpPr>
      <xdr:spPr>
        <a:xfrm>
          <a:off x="1213866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95" name="TextBox 1794">
          <a:extLst>
            <a:ext uri="{FF2B5EF4-FFF2-40B4-BE49-F238E27FC236}">
              <a16:creationId xmlns:a16="http://schemas.microsoft.com/office/drawing/2014/main" id="{00000000-0008-0000-0000-000007000000}"/>
            </a:ext>
          </a:extLst>
        </xdr:cNvPr>
        <xdr:cNvSpPr txBox="1"/>
      </xdr:nvSpPr>
      <xdr:spPr>
        <a:xfrm>
          <a:off x="1213866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1796" name="TextBox 1795">
          <a:extLst>
            <a:ext uri="{FF2B5EF4-FFF2-40B4-BE49-F238E27FC236}">
              <a16:creationId xmlns:a16="http://schemas.microsoft.com/office/drawing/2014/main" id="{00000000-0008-0000-0000-000007000000}"/>
            </a:ext>
          </a:extLst>
        </xdr:cNvPr>
        <xdr:cNvSpPr txBox="1"/>
      </xdr:nvSpPr>
      <xdr:spPr>
        <a:xfrm>
          <a:off x="1213866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797" name="TextBox 1796">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798" name="TextBox 1797">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799" name="TextBox 1798">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00" name="TextBox 1799">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01" name="TextBox 1800">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02" name="TextBox 1801">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03" name="TextBox 1802">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04" name="TextBox 1803">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05" name="TextBox 1804">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06" name="TextBox 1805">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07" name="TextBox 1806">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08" name="TextBox 1807">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09" name="TextBox 1808">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10" name="TextBox 1809">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11" name="TextBox 1810">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12" name="TextBox 1811">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13" name="TextBox 1812">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14" name="TextBox 1813">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15" name="TextBox 1814">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16" name="TextBox 1815">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17" name="TextBox 1816">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18" name="TextBox 1817">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19" name="TextBox 1818">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20" name="TextBox 1819">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21" name="TextBox 1820">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22" name="TextBox 1821">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23" name="TextBox 1822">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24" name="TextBox 1823">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25" name="TextBox 1824">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26" name="TextBox 1825">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27" name="TextBox 1826">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28" name="TextBox 1827">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29" name="TextBox 1828">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30" name="TextBox 1829">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31" name="TextBox 1830">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32" name="TextBox 1831">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33" name="TextBox 1832">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34" name="TextBox 1833">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35" name="TextBox 1834">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36" name="TextBox 1835">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37" name="TextBox 1836">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38" name="TextBox 1837">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39" name="TextBox 1838">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40" name="TextBox 1839">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41" name="TextBox 1840">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42" name="TextBox 1841">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43" name="TextBox 1842">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44" name="TextBox 1843">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45" name="TextBox 1844">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46" name="TextBox 1845">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47" name="TextBox 1846">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48" name="TextBox 1847">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49" name="TextBox 1848">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50" name="TextBox 1849">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51" name="TextBox 1850">
          <a:extLst>
            <a:ext uri="{FF2B5EF4-FFF2-40B4-BE49-F238E27FC236}">
              <a16:creationId xmlns:a16="http://schemas.microsoft.com/office/drawing/2014/main" id="{00000000-0008-0000-0000-000007000000}"/>
            </a:ext>
          </a:extLst>
        </xdr:cNvPr>
        <xdr:cNvSpPr txBox="1"/>
      </xdr:nvSpPr>
      <xdr:spPr>
        <a:xfrm>
          <a:off x="1213866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52" name="TextBox 1851">
          <a:extLst>
            <a:ext uri="{FF2B5EF4-FFF2-40B4-BE49-F238E27FC236}">
              <a16:creationId xmlns:a16="http://schemas.microsoft.com/office/drawing/2014/main" id="{00000000-0008-0000-0000-000007000000}"/>
            </a:ext>
          </a:extLst>
        </xdr:cNvPr>
        <xdr:cNvSpPr txBox="1"/>
      </xdr:nvSpPr>
      <xdr:spPr>
        <a:xfrm>
          <a:off x="1213866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53" name="TextBox 1852">
          <a:extLst>
            <a:ext uri="{FF2B5EF4-FFF2-40B4-BE49-F238E27FC236}">
              <a16:creationId xmlns:a16="http://schemas.microsoft.com/office/drawing/2014/main" id="{00000000-0008-0000-0000-000007000000}"/>
            </a:ext>
          </a:extLst>
        </xdr:cNvPr>
        <xdr:cNvSpPr txBox="1"/>
      </xdr:nvSpPr>
      <xdr:spPr>
        <a:xfrm>
          <a:off x="1213866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54" name="TextBox 1853">
          <a:extLst>
            <a:ext uri="{FF2B5EF4-FFF2-40B4-BE49-F238E27FC236}">
              <a16:creationId xmlns:a16="http://schemas.microsoft.com/office/drawing/2014/main" id="{00000000-0008-0000-0000-000007000000}"/>
            </a:ext>
          </a:extLst>
        </xdr:cNvPr>
        <xdr:cNvSpPr txBox="1"/>
      </xdr:nvSpPr>
      <xdr:spPr>
        <a:xfrm>
          <a:off x="1213866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55" name="TextBox 1854">
          <a:extLst>
            <a:ext uri="{FF2B5EF4-FFF2-40B4-BE49-F238E27FC236}">
              <a16:creationId xmlns:a16="http://schemas.microsoft.com/office/drawing/2014/main" id="{00000000-0008-0000-0000-000007000000}"/>
            </a:ext>
          </a:extLst>
        </xdr:cNvPr>
        <xdr:cNvSpPr txBox="1"/>
      </xdr:nvSpPr>
      <xdr:spPr>
        <a:xfrm>
          <a:off x="1213866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56" name="TextBox 1855">
          <a:extLst>
            <a:ext uri="{FF2B5EF4-FFF2-40B4-BE49-F238E27FC236}">
              <a16:creationId xmlns:a16="http://schemas.microsoft.com/office/drawing/2014/main" id="{00000000-0008-0000-0000-000007000000}"/>
            </a:ext>
          </a:extLst>
        </xdr:cNvPr>
        <xdr:cNvSpPr txBox="1"/>
      </xdr:nvSpPr>
      <xdr:spPr>
        <a:xfrm>
          <a:off x="1213866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57" name="TextBox 1856">
          <a:extLst>
            <a:ext uri="{FF2B5EF4-FFF2-40B4-BE49-F238E27FC236}">
              <a16:creationId xmlns:a16="http://schemas.microsoft.com/office/drawing/2014/main" id="{00000000-0008-0000-0000-000007000000}"/>
            </a:ext>
          </a:extLst>
        </xdr:cNvPr>
        <xdr:cNvSpPr txBox="1"/>
      </xdr:nvSpPr>
      <xdr:spPr>
        <a:xfrm>
          <a:off x="1213866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1858" name="TextBox 1857">
          <a:extLst>
            <a:ext uri="{FF2B5EF4-FFF2-40B4-BE49-F238E27FC236}">
              <a16:creationId xmlns:a16="http://schemas.microsoft.com/office/drawing/2014/main" id="{00000000-0008-0000-0000-000007000000}"/>
            </a:ext>
          </a:extLst>
        </xdr:cNvPr>
        <xdr:cNvSpPr txBox="1"/>
      </xdr:nvSpPr>
      <xdr:spPr>
        <a:xfrm>
          <a:off x="1213866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59" name="TextBox 1858">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60" name="TextBox 1859">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61" name="TextBox 1860">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62" name="TextBox 1861">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63" name="TextBox 1862">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64" name="TextBox 1863">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65" name="TextBox 1864">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66" name="TextBox 1865">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67" name="TextBox 1866">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68" name="TextBox 1867">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69" name="TextBox 1868">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70" name="TextBox 1869">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71" name="TextBox 1870">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72" name="TextBox 1871">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73" name="TextBox 1872">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74" name="TextBox 1873">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75" name="TextBox 1874">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76" name="TextBox 1875">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77" name="TextBox 1876">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78" name="TextBox 1877">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79" name="TextBox 1878">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80" name="TextBox 1879">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81" name="TextBox 1880">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82" name="TextBox 1881">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83" name="TextBox 1882">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84" name="TextBox 1883">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85" name="TextBox 1884">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86" name="TextBox 1885">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87" name="TextBox 1886">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88" name="TextBox 1887">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89" name="TextBox 1888">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90" name="TextBox 1889">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91" name="TextBox 1890">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92" name="TextBox 1891">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93" name="TextBox 1892">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94" name="TextBox 1893">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95" name="TextBox 1894">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96" name="TextBox 1895">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97" name="TextBox 1896">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98" name="TextBox 1897">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899" name="TextBox 1898">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00" name="TextBox 1899">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01" name="TextBox 1900">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02" name="TextBox 1901">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03" name="TextBox 1902">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04" name="TextBox 1903">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05" name="TextBox 1904">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06" name="TextBox 1905">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07" name="TextBox 1906">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08" name="TextBox 1907">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09" name="TextBox 1908">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10" name="TextBox 1909">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11" name="TextBox 1910">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12" name="TextBox 1911">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13" name="TextBox 1912">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14" name="TextBox 1913">
          <a:extLst>
            <a:ext uri="{FF2B5EF4-FFF2-40B4-BE49-F238E27FC236}">
              <a16:creationId xmlns:a16="http://schemas.microsoft.com/office/drawing/2014/main" id="{00000000-0008-0000-0000-000007000000}"/>
            </a:ext>
          </a:extLst>
        </xdr:cNvPr>
        <xdr:cNvSpPr txBox="1"/>
      </xdr:nvSpPr>
      <xdr:spPr>
        <a:xfrm>
          <a:off x="826770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15" name="TextBox 1914">
          <a:extLst>
            <a:ext uri="{FF2B5EF4-FFF2-40B4-BE49-F238E27FC236}">
              <a16:creationId xmlns:a16="http://schemas.microsoft.com/office/drawing/2014/main" id="{00000000-0008-0000-0000-000007000000}"/>
            </a:ext>
          </a:extLst>
        </xdr:cNvPr>
        <xdr:cNvSpPr txBox="1"/>
      </xdr:nvSpPr>
      <xdr:spPr>
        <a:xfrm>
          <a:off x="1213866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16" name="TextBox 1915">
          <a:extLst>
            <a:ext uri="{FF2B5EF4-FFF2-40B4-BE49-F238E27FC236}">
              <a16:creationId xmlns:a16="http://schemas.microsoft.com/office/drawing/2014/main" id="{00000000-0008-0000-0000-000007000000}"/>
            </a:ext>
          </a:extLst>
        </xdr:cNvPr>
        <xdr:cNvSpPr txBox="1"/>
      </xdr:nvSpPr>
      <xdr:spPr>
        <a:xfrm>
          <a:off x="1213866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17" name="TextBox 1916">
          <a:extLst>
            <a:ext uri="{FF2B5EF4-FFF2-40B4-BE49-F238E27FC236}">
              <a16:creationId xmlns:a16="http://schemas.microsoft.com/office/drawing/2014/main" id="{00000000-0008-0000-0000-000007000000}"/>
            </a:ext>
          </a:extLst>
        </xdr:cNvPr>
        <xdr:cNvSpPr txBox="1"/>
      </xdr:nvSpPr>
      <xdr:spPr>
        <a:xfrm>
          <a:off x="1213866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18" name="TextBox 1917">
          <a:extLst>
            <a:ext uri="{FF2B5EF4-FFF2-40B4-BE49-F238E27FC236}">
              <a16:creationId xmlns:a16="http://schemas.microsoft.com/office/drawing/2014/main" id="{00000000-0008-0000-0000-000007000000}"/>
            </a:ext>
          </a:extLst>
        </xdr:cNvPr>
        <xdr:cNvSpPr txBox="1"/>
      </xdr:nvSpPr>
      <xdr:spPr>
        <a:xfrm>
          <a:off x="1213866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19" name="TextBox 1918">
          <a:extLst>
            <a:ext uri="{FF2B5EF4-FFF2-40B4-BE49-F238E27FC236}">
              <a16:creationId xmlns:a16="http://schemas.microsoft.com/office/drawing/2014/main" id="{00000000-0008-0000-0000-000007000000}"/>
            </a:ext>
          </a:extLst>
        </xdr:cNvPr>
        <xdr:cNvSpPr txBox="1"/>
      </xdr:nvSpPr>
      <xdr:spPr>
        <a:xfrm>
          <a:off x="1213866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20" name="TextBox 1919">
          <a:extLst>
            <a:ext uri="{FF2B5EF4-FFF2-40B4-BE49-F238E27FC236}">
              <a16:creationId xmlns:a16="http://schemas.microsoft.com/office/drawing/2014/main" id="{00000000-0008-0000-0000-000007000000}"/>
            </a:ext>
          </a:extLst>
        </xdr:cNvPr>
        <xdr:cNvSpPr txBox="1"/>
      </xdr:nvSpPr>
      <xdr:spPr>
        <a:xfrm>
          <a:off x="1213866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21" name="TextBox 1920">
          <a:extLst>
            <a:ext uri="{FF2B5EF4-FFF2-40B4-BE49-F238E27FC236}">
              <a16:creationId xmlns:a16="http://schemas.microsoft.com/office/drawing/2014/main" id="{00000000-0008-0000-0000-000007000000}"/>
            </a:ext>
          </a:extLst>
        </xdr:cNvPr>
        <xdr:cNvSpPr txBox="1"/>
      </xdr:nvSpPr>
      <xdr:spPr>
        <a:xfrm>
          <a:off x="1213866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1922" name="TextBox 1921">
          <a:extLst>
            <a:ext uri="{FF2B5EF4-FFF2-40B4-BE49-F238E27FC236}">
              <a16:creationId xmlns:a16="http://schemas.microsoft.com/office/drawing/2014/main" id="{00000000-0008-0000-0000-000007000000}"/>
            </a:ext>
          </a:extLst>
        </xdr:cNvPr>
        <xdr:cNvSpPr txBox="1"/>
      </xdr:nvSpPr>
      <xdr:spPr>
        <a:xfrm>
          <a:off x="12138660" y="34632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23" name="TextBox 1922">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24" name="TextBox 1923">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25" name="TextBox 1924">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26" name="TextBox 1925">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27" name="TextBox 1926">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28" name="TextBox 1927">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29" name="TextBox 1928">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30" name="TextBox 1929">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31" name="TextBox 1930">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32" name="TextBox 1931">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33" name="TextBox 1932">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34" name="TextBox 1933">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35" name="TextBox 1934">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36" name="TextBox 1935">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37" name="TextBox 1936">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38" name="TextBox 1937">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39" name="TextBox 1938">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40" name="TextBox 1939">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41" name="TextBox 1940">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42" name="TextBox 1941">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43" name="TextBox 1942">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44" name="TextBox 1943">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45" name="TextBox 1944">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46" name="TextBox 1945">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47" name="TextBox 1946">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48" name="TextBox 1947">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49" name="TextBox 1948">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50" name="TextBox 1949">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51" name="TextBox 1950">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52" name="TextBox 1951">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53" name="TextBox 1952">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54" name="TextBox 1953">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55" name="TextBox 1954">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56" name="TextBox 1955">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57" name="TextBox 1956">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58" name="TextBox 1957">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59" name="TextBox 1958">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60" name="TextBox 1959">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61" name="TextBox 1960">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62" name="TextBox 1961">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63" name="TextBox 1962">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64" name="TextBox 1963">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65" name="TextBox 1964">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66" name="TextBox 1965">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67" name="TextBox 1966">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68" name="TextBox 1967">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69" name="TextBox 1968">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70" name="TextBox 1969">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71" name="TextBox 1970">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72" name="TextBox 1971">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73" name="TextBox 1972">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74" name="TextBox 1973">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75" name="TextBox 1974">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76" name="TextBox 1975">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77" name="TextBox 1976">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78" name="TextBox 1977">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79" name="TextBox 1978">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80" name="TextBox 1979">
          <a:extLst>
            <a:ext uri="{FF2B5EF4-FFF2-40B4-BE49-F238E27FC236}">
              <a16:creationId xmlns:a16="http://schemas.microsoft.com/office/drawing/2014/main" id="{00000000-0008-0000-0000-000007000000}"/>
            </a:ext>
          </a:extLst>
        </xdr:cNvPr>
        <xdr:cNvSpPr txBox="1"/>
      </xdr:nvSpPr>
      <xdr:spPr>
        <a:xfrm>
          <a:off x="826770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81" name="TextBox 1980">
          <a:extLst>
            <a:ext uri="{FF2B5EF4-FFF2-40B4-BE49-F238E27FC236}">
              <a16:creationId xmlns:a16="http://schemas.microsoft.com/office/drawing/2014/main" id="{00000000-0008-0000-0000-000007000000}"/>
            </a:ext>
          </a:extLst>
        </xdr:cNvPr>
        <xdr:cNvSpPr txBox="1"/>
      </xdr:nvSpPr>
      <xdr:spPr>
        <a:xfrm>
          <a:off x="1213866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82" name="TextBox 1981">
          <a:extLst>
            <a:ext uri="{FF2B5EF4-FFF2-40B4-BE49-F238E27FC236}">
              <a16:creationId xmlns:a16="http://schemas.microsoft.com/office/drawing/2014/main" id="{00000000-0008-0000-0000-000007000000}"/>
            </a:ext>
          </a:extLst>
        </xdr:cNvPr>
        <xdr:cNvSpPr txBox="1"/>
      </xdr:nvSpPr>
      <xdr:spPr>
        <a:xfrm>
          <a:off x="1213866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83" name="TextBox 1982">
          <a:extLst>
            <a:ext uri="{FF2B5EF4-FFF2-40B4-BE49-F238E27FC236}">
              <a16:creationId xmlns:a16="http://schemas.microsoft.com/office/drawing/2014/main" id="{00000000-0008-0000-0000-000007000000}"/>
            </a:ext>
          </a:extLst>
        </xdr:cNvPr>
        <xdr:cNvSpPr txBox="1"/>
      </xdr:nvSpPr>
      <xdr:spPr>
        <a:xfrm>
          <a:off x="1213866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84" name="TextBox 1983">
          <a:extLst>
            <a:ext uri="{FF2B5EF4-FFF2-40B4-BE49-F238E27FC236}">
              <a16:creationId xmlns:a16="http://schemas.microsoft.com/office/drawing/2014/main" id="{00000000-0008-0000-0000-000007000000}"/>
            </a:ext>
          </a:extLst>
        </xdr:cNvPr>
        <xdr:cNvSpPr txBox="1"/>
      </xdr:nvSpPr>
      <xdr:spPr>
        <a:xfrm>
          <a:off x="1213866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85" name="TextBox 1984">
          <a:extLst>
            <a:ext uri="{FF2B5EF4-FFF2-40B4-BE49-F238E27FC236}">
              <a16:creationId xmlns:a16="http://schemas.microsoft.com/office/drawing/2014/main" id="{00000000-0008-0000-0000-000007000000}"/>
            </a:ext>
          </a:extLst>
        </xdr:cNvPr>
        <xdr:cNvSpPr txBox="1"/>
      </xdr:nvSpPr>
      <xdr:spPr>
        <a:xfrm>
          <a:off x="1213866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86" name="TextBox 1985">
          <a:extLst>
            <a:ext uri="{FF2B5EF4-FFF2-40B4-BE49-F238E27FC236}">
              <a16:creationId xmlns:a16="http://schemas.microsoft.com/office/drawing/2014/main" id="{00000000-0008-0000-0000-000007000000}"/>
            </a:ext>
          </a:extLst>
        </xdr:cNvPr>
        <xdr:cNvSpPr txBox="1"/>
      </xdr:nvSpPr>
      <xdr:spPr>
        <a:xfrm>
          <a:off x="1213866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87" name="TextBox 1986">
          <a:extLst>
            <a:ext uri="{FF2B5EF4-FFF2-40B4-BE49-F238E27FC236}">
              <a16:creationId xmlns:a16="http://schemas.microsoft.com/office/drawing/2014/main" id="{00000000-0008-0000-0000-000007000000}"/>
            </a:ext>
          </a:extLst>
        </xdr:cNvPr>
        <xdr:cNvSpPr txBox="1"/>
      </xdr:nvSpPr>
      <xdr:spPr>
        <a:xfrm>
          <a:off x="1213866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1988" name="TextBox 1987">
          <a:extLst>
            <a:ext uri="{FF2B5EF4-FFF2-40B4-BE49-F238E27FC236}">
              <a16:creationId xmlns:a16="http://schemas.microsoft.com/office/drawing/2014/main" id="{00000000-0008-0000-0000-000007000000}"/>
            </a:ext>
          </a:extLst>
        </xdr:cNvPr>
        <xdr:cNvSpPr txBox="1"/>
      </xdr:nvSpPr>
      <xdr:spPr>
        <a:xfrm>
          <a:off x="12138660" y="34815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1993" name="TextBox 1992">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1997" name="TextBox 1996">
          <a:extLst>
            <a:ext uri="{FF2B5EF4-FFF2-40B4-BE49-F238E27FC236}">
              <a16:creationId xmlns:a16="http://schemas.microsoft.com/office/drawing/2014/main" id="{00000000-0008-0000-0000-000007000000}"/>
            </a:ext>
          </a:extLst>
        </xdr:cNvPr>
        <xdr:cNvSpPr txBox="1"/>
      </xdr:nvSpPr>
      <xdr:spPr>
        <a:xfrm>
          <a:off x="8267700" y="33276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998" name="TextBox 1997">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1999" name="TextBox 1998">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00" name="TextBox 1999">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01" name="TextBox 2000">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02" name="TextBox 2001">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03" name="TextBox 2002">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004" name="TextBox 2003">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005" name="TextBox 2004">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006" name="TextBox 2005">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007" name="TextBox 2006">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008" name="TextBox 200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009" name="TextBox 200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010" name="TextBox 2009">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011" name="TextBox 2010">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2012" name="TextBox 2011">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2013" name="TextBox 2012">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2014" name="TextBox 2013">
          <a:extLst>
            <a:ext uri="{FF2B5EF4-FFF2-40B4-BE49-F238E27FC236}">
              <a16:creationId xmlns:a16="http://schemas.microsoft.com/office/drawing/2014/main" id="{00000000-0008-0000-0000-000007000000}"/>
            </a:ext>
          </a:extLst>
        </xdr:cNvPr>
        <xdr:cNvSpPr txBox="1"/>
      </xdr:nvSpPr>
      <xdr:spPr>
        <a:xfrm>
          <a:off x="8267700" y="35029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2015" name="TextBox 2014">
          <a:extLst>
            <a:ext uri="{FF2B5EF4-FFF2-40B4-BE49-F238E27FC236}">
              <a16:creationId xmlns:a16="http://schemas.microsoft.com/office/drawing/2014/main" id="{00000000-0008-0000-0000-000007000000}"/>
            </a:ext>
          </a:extLst>
        </xdr:cNvPr>
        <xdr:cNvSpPr txBox="1"/>
      </xdr:nvSpPr>
      <xdr:spPr>
        <a:xfrm>
          <a:off x="8267700" y="35029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16" name="TextBox 2015">
          <a:extLst>
            <a:ext uri="{FF2B5EF4-FFF2-40B4-BE49-F238E27FC236}">
              <a16:creationId xmlns:a16="http://schemas.microsoft.com/office/drawing/2014/main" id="{00000000-0008-0000-0000-000007000000}"/>
            </a:ext>
          </a:extLst>
        </xdr:cNvPr>
        <xdr:cNvSpPr txBox="1"/>
      </xdr:nvSpPr>
      <xdr:spPr>
        <a:xfrm>
          <a:off x="8267700" y="3612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17" name="TextBox 2016">
          <a:extLst>
            <a:ext uri="{FF2B5EF4-FFF2-40B4-BE49-F238E27FC236}">
              <a16:creationId xmlns:a16="http://schemas.microsoft.com/office/drawing/2014/main" id="{00000000-0008-0000-0000-000007000000}"/>
            </a:ext>
          </a:extLst>
        </xdr:cNvPr>
        <xdr:cNvSpPr txBox="1"/>
      </xdr:nvSpPr>
      <xdr:spPr>
        <a:xfrm>
          <a:off x="8267700" y="3612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018" name="TextBox 2017">
          <a:extLst>
            <a:ext uri="{FF2B5EF4-FFF2-40B4-BE49-F238E27FC236}">
              <a16:creationId xmlns:a16="http://schemas.microsoft.com/office/drawing/2014/main" id="{00000000-0008-0000-0000-000007000000}"/>
            </a:ext>
          </a:extLst>
        </xdr:cNvPr>
        <xdr:cNvSpPr txBox="1"/>
      </xdr:nvSpPr>
      <xdr:spPr>
        <a:xfrm>
          <a:off x="8267700" y="36309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019" name="TextBox 2018">
          <a:extLst>
            <a:ext uri="{FF2B5EF4-FFF2-40B4-BE49-F238E27FC236}">
              <a16:creationId xmlns:a16="http://schemas.microsoft.com/office/drawing/2014/main" id="{00000000-0008-0000-0000-000007000000}"/>
            </a:ext>
          </a:extLst>
        </xdr:cNvPr>
        <xdr:cNvSpPr txBox="1"/>
      </xdr:nvSpPr>
      <xdr:spPr>
        <a:xfrm>
          <a:off x="8267700" y="36309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2020" name="TextBox 2019">
          <a:extLst>
            <a:ext uri="{FF2B5EF4-FFF2-40B4-BE49-F238E27FC236}">
              <a16:creationId xmlns:a16="http://schemas.microsoft.com/office/drawing/2014/main" id="{00000000-0008-0000-0000-000007000000}"/>
            </a:ext>
          </a:extLst>
        </xdr:cNvPr>
        <xdr:cNvSpPr txBox="1"/>
      </xdr:nvSpPr>
      <xdr:spPr>
        <a:xfrm>
          <a:off x="8267700" y="36492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2021" name="TextBox 2020">
          <a:extLst>
            <a:ext uri="{FF2B5EF4-FFF2-40B4-BE49-F238E27FC236}">
              <a16:creationId xmlns:a16="http://schemas.microsoft.com/office/drawing/2014/main" id="{00000000-0008-0000-0000-000007000000}"/>
            </a:ext>
          </a:extLst>
        </xdr:cNvPr>
        <xdr:cNvSpPr txBox="1"/>
      </xdr:nvSpPr>
      <xdr:spPr>
        <a:xfrm>
          <a:off x="8267700" y="36492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2022" name="TextBox 2021">
          <a:extLst>
            <a:ext uri="{FF2B5EF4-FFF2-40B4-BE49-F238E27FC236}">
              <a16:creationId xmlns:a16="http://schemas.microsoft.com/office/drawing/2014/main" id="{00000000-0008-0000-0000-000007000000}"/>
            </a:ext>
          </a:extLst>
        </xdr:cNvPr>
        <xdr:cNvSpPr txBox="1"/>
      </xdr:nvSpPr>
      <xdr:spPr>
        <a:xfrm>
          <a:off x="8267700" y="36675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2023" name="TextBox 2022">
          <a:extLst>
            <a:ext uri="{FF2B5EF4-FFF2-40B4-BE49-F238E27FC236}">
              <a16:creationId xmlns:a16="http://schemas.microsoft.com/office/drawing/2014/main" id="{00000000-0008-0000-0000-000007000000}"/>
            </a:ext>
          </a:extLst>
        </xdr:cNvPr>
        <xdr:cNvSpPr txBox="1"/>
      </xdr:nvSpPr>
      <xdr:spPr>
        <a:xfrm>
          <a:off x="8267700" y="36675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2024" name="TextBox 2023">
          <a:extLst>
            <a:ext uri="{FF2B5EF4-FFF2-40B4-BE49-F238E27FC236}">
              <a16:creationId xmlns:a16="http://schemas.microsoft.com/office/drawing/2014/main" id="{00000000-0008-0000-0000-000007000000}"/>
            </a:ext>
          </a:extLst>
        </xdr:cNvPr>
        <xdr:cNvSpPr txBox="1"/>
      </xdr:nvSpPr>
      <xdr:spPr>
        <a:xfrm>
          <a:off x="8267700" y="36857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2025" name="TextBox 2024">
          <a:extLst>
            <a:ext uri="{FF2B5EF4-FFF2-40B4-BE49-F238E27FC236}">
              <a16:creationId xmlns:a16="http://schemas.microsoft.com/office/drawing/2014/main" id="{00000000-0008-0000-0000-000007000000}"/>
            </a:ext>
          </a:extLst>
        </xdr:cNvPr>
        <xdr:cNvSpPr txBox="1"/>
      </xdr:nvSpPr>
      <xdr:spPr>
        <a:xfrm>
          <a:off x="8267700" y="36857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2026" name="TextBox 2025">
          <a:extLst>
            <a:ext uri="{FF2B5EF4-FFF2-40B4-BE49-F238E27FC236}">
              <a16:creationId xmlns:a16="http://schemas.microsoft.com/office/drawing/2014/main" id="{00000000-0008-0000-0000-000007000000}"/>
            </a:ext>
          </a:extLst>
        </xdr:cNvPr>
        <xdr:cNvSpPr txBox="1"/>
      </xdr:nvSpPr>
      <xdr:spPr>
        <a:xfrm>
          <a:off x="8267700" y="3795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2027" name="TextBox 2026">
          <a:extLst>
            <a:ext uri="{FF2B5EF4-FFF2-40B4-BE49-F238E27FC236}">
              <a16:creationId xmlns:a16="http://schemas.microsoft.com/office/drawing/2014/main" id="{00000000-0008-0000-0000-000007000000}"/>
            </a:ext>
          </a:extLst>
        </xdr:cNvPr>
        <xdr:cNvSpPr txBox="1"/>
      </xdr:nvSpPr>
      <xdr:spPr>
        <a:xfrm>
          <a:off x="8267700" y="3795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2028" name="TextBox 2027">
          <a:extLst>
            <a:ext uri="{FF2B5EF4-FFF2-40B4-BE49-F238E27FC236}">
              <a16:creationId xmlns:a16="http://schemas.microsoft.com/office/drawing/2014/main" id="{00000000-0008-0000-0000-000007000000}"/>
            </a:ext>
          </a:extLst>
        </xdr:cNvPr>
        <xdr:cNvSpPr txBox="1"/>
      </xdr:nvSpPr>
      <xdr:spPr>
        <a:xfrm>
          <a:off x="8267700" y="38138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2029" name="TextBox 2028">
          <a:extLst>
            <a:ext uri="{FF2B5EF4-FFF2-40B4-BE49-F238E27FC236}">
              <a16:creationId xmlns:a16="http://schemas.microsoft.com/office/drawing/2014/main" id="{00000000-0008-0000-0000-000007000000}"/>
            </a:ext>
          </a:extLst>
        </xdr:cNvPr>
        <xdr:cNvSpPr txBox="1"/>
      </xdr:nvSpPr>
      <xdr:spPr>
        <a:xfrm>
          <a:off x="8267700" y="38138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2030" name="TextBox 2029">
          <a:extLst>
            <a:ext uri="{FF2B5EF4-FFF2-40B4-BE49-F238E27FC236}">
              <a16:creationId xmlns:a16="http://schemas.microsoft.com/office/drawing/2014/main" id="{00000000-0008-0000-0000-000007000000}"/>
            </a:ext>
          </a:extLst>
        </xdr:cNvPr>
        <xdr:cNvSpPr txBox="1"/>
      </xdr:nvSpPr>
      <xdr:spPr>
        <a:xfrm>
          <a:off x="8267700" y="3832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2031" name="TextBox 2030">
          <a:extLst>
            <a:ext uri="{FF2B5EF4-FFF2-40B4-BE49-F238E27FC236}">
              <a16:creationId xmlns:a16="http://schemas.microsoft.com/office/drawing/2014/main" id="{00000000-0008-0000-0000-000007000000}"/>
            </a:ext>
          </a:extLst>
        </xdr:cNvPr>
        <xdr:cNvSpPr txBox="1"/>
      </xdr:nvSpPr>
      <xdr:spPr>
        <a:xfrm>
          <a:off x="8267700" y="3832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2032" name="TextBox 2031">
          <a:extLst>
            <a:ext uri="{FF2B5EF4-FFF2-40B4-BE49-F238E27FC236}">
              <a16:creationId xmlns:a16="http://schemas.microsoft.com/office/drawing/2014/main" id="{00000000-0008-0000-0000-000007000000}"/>
            </a:ext>
          </a:extLst>
        </xdr:cNvPr>
        <xdr:cNvSpPr txBox="1"/>
      </xdr:nvSpPr>
      <xdr:spPr>
        <a:xfrm>
          <a:off x="8267700" y="38503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2033" name="TextBox 2032">
          <a:extLst>
            <a:ext uri="{FF2B5EF4-FFF2-40B4-BE49-F238E27FC236}">
              <a16:creationId xmlns:a16="http://schemas.microsoft.com/office/drawing/2014/main" id="{00000000-0008-0000-0000-000007000000}"/>
            </a:ext>
          </a:extLst>
        </xdr:cNvPr>
        <xdr:cNvSpPr txBox="1"/>
      </xdr:nvSpPr>
      <xdr:spPr>
        <a:xfrm>
          <a:off x="8267700" y="38503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2034" name="TextBox 2033">
          <a:extLst>
            <a:ext uri="{FF2B5EF4-FFF2-40B4-BE49-F238E27FC236}">
              <a16:creationId xmlns:a16="http://schemas.microsoft.com/office/drawing/2014/main" id="{00000000-0008-0000-0000-000007000000}"/>
            </a:ext>
          </a:extLst>
        </xdr:cNvPr>
        <xdr:cNvSpPr txBox="1"/>
      </xdr:nvSpPr>
      <xdr:spPr>
        <a:xfrm>
          <a:off x="8267700" y="38686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2035" name="TextBox 2034">
          <a:extLst>
            <a:ext uri="{FF2B5EF4-FFF2-40B4-BE49-F238E27FC236}">
              <a16:creationId xmlns:a16="http://schemas.microsoft.com/office/drawing/2014/main" id="{00000000-0008-0000-0000-000007000000}"/>
            </a:ext>
          </a:extLst>
        </xdr:cNvPr>
        <xdr:cNvSpPr txBox="1"/>
      </xdr:nvSpPr>
      <xdr:spPr>
        <a:xfrm>
          <a:off x="8267700" y="38686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36" name="TextBox 2035">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37" name="TextBox 2036">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38" name="TextBox 2037">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39" name="TextBox 2038">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40" name="TextBox 2039">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41" name="TextBox 2040">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42" name="TextBox 2041">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43" name="TextBox 2042">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44" name="TextBox 2043">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45" name="TextBox 2044">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46" name="TextBox 2045">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47" name="TextBox 2046">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48" name="TextBox 2047">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49" name="TextBox 2048">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50" name="TextBox 2049">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51" name="TextBox 2050">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52" name="TextBox 2051">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53" name="TextBox 2052">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54" name="TextBox 2053">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055" name="TextBox 2054">
          <a:extLst>
            <a:ext uri="{FF2B5EF4-FFF2-40B4-BE49-F238E27FC236}">
              <a16:creationId xmlns:a16="http://schemas.microsoft.com/office/drawing/2014/main" id="{00000000-0008-0000-0000-000007000000}"/>
            </a:ext>
          </a:extLst>
        </xdr:cNvPr>
        <xdr:cNvSpPr txBox="1"/>
      </xdr:nvSpPr>
      <xdr:spPr>
        <a:xfrm>
          <a:off x="8267700" y="39418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56" name="TextBox 2055">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57" name="TextBox 2056">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58" name="TextBox 2057">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59" name="TextBox 2058">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060" name="TextBox 2059">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061" name="TextBox 2060">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062" name="TextBox 2061">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063" name="TextBox 2062">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064" name="TextBox 2063">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065" name="TextBox 2064">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66" name="TextBox 2065">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67" name="TextBox 2066">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68" name="TextBox 2067">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69" name="TextBox 2068">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70" name="TextBox 2069">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71" name="TextBox 2070">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72" name="TextBox 2071">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73" name="TextBox 2072">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74" name="TextBox 2073">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75" name="TextBox 2074">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76" name="TextBox 2075">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077" name="TextBox 2076">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078" name="TextBox 2077">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079" name="TextBox 2078">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080" name="TextBox 2079">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081" name="TextBox 2080">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82" name="TextBox 2081">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83" name="TextBox 2082">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84" name="TextBox 2083">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85" name="TextBox 2084">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86" name="TextBox 2085">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87" name="TextBox 2086">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88" name="TextBox 2087">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89" name="TextBox 2088">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90" name="TextBox 2089">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91" name="TextBox 2090">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92" name="TextBox 2091">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93" name="TextBox 2092">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94" name="TextBox 2093">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95" name="TextBox 2094">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96" name="TextBox 2095">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97" name="TextBox 2096">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98" name="TextBox 2097">
          <a:extLst>
            <a:ext uri="{FF2B5EF4-FFF2-40B4-BE49-F238E27FC236}">
              <a16:creationId xmlns:a16="http://schemas.microsoft.com/office/drawing/2014/main" id="{00000000-0008-0000-0000-000007000000}"/>
            </a:ext>
          </a:extLst>
        </xdr:cNvPr>
        <xdr:cNvSpPr txBox="1"/>
      </xdr:nvSpPr>
      <xdr:spPr>
        <a:xfrm>
          <a:off x="1213866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099" name="TextBox 2098">
          <a:extLst>
            <a:ext uri="{FF2B5EF4-FFF2-40B4-BE49-F238E27FC236}">
              <a16:creationId xmlns:a16="http://schemas.microsoft.com/office/drawing/2014/main" id="{00000000-0008-0000-0000-000007000000}"/>
            </a:ext>
          </a:extLst>
        </xdr:cNvPr>
        <xdr:cNvSpPr txBox="1"/>
      </xdr:nvSpPr>
      <xdr:spPr>
        <a:xfrm>
          <a:off x="1213866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00" name="TextBox 2099">
          <a:extLst>
            <a:ext uri="{FF2B5EF4-FFF2-40B4-BE49-F238E27FC236}">
              <a16:creationId xmlns:a16="http://schemas.microsoft.com/office/drawing/2014/main" id="{00000000-0008-0000-0000-000007000000}"/>
            </a:ext>
          </a:extLst>
        </xdr:cNvPr>
        <xdr:cNvSpPr txBox="1"/>
      </xdr:nvSpPr>
      <xdr:spPr>
        <a:xfrm>
          <a:off x="1213866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01" name="TextBox 2100">
          <a:extLst>
            <a:ext uri="{FF2B5EF4-FFF2-40B4-BE49-F238E27FC236}">
              <a16:creationId xmlns:a16="http://schemas.microsoft.com/office/drawing/2014/main" id="{00000000-0008-0000-0000-000007000000}"/>
            </a:ext>
          </a:extLst>
        </xdr:cNvPr>
        <xdr:cNvSpPr txBox="1"/>
      </xdr:nvSpPr>
      <xdr:spPr>
        <a:xfrm>
          <a:off x="1213866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02" name="TextBox 2101">
          <a:extLst>
            <a:ext uri="{FF2B5EF4-FFF2-40B4-BE49-F238E27FC236}">
              <a16:creationId xmlns:a16="http://schemas.microsoft.com/office/drawing/2014/main" id="{00000000-0008-0000-0000-000007000000}"/>
            </a:ext>
          </a:extLst>
        </xdr:cNvPr>
        <xdr:cNvSpPr txBox="1"/>
      </xdr:nvSpPr>
      <xdr:spPr>
        <a:xfrm>
          <a:off x="1213866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03" name="TextBox 2102">
          <a:extLst>
            <a:ext uri="{FF2B5EF4-FFF2-40B4-BE49-F238E27FC236}">
              <a16:creationId xmlns:a16="http://schemas.microsoft.com/office/drawing/2014/main" id="{00000000-0008-0000-0000-000007000000}"/>
            </a:ext>
          </a:extLst>
        </xdr:cNvPr>
        <xdr:cNvSpPr txBox="1"/>
      </xdr:nvSpPr>
      <xdr:spPr>
        <a:xfrm>
          <a:off x="1213866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04" name="TextBox 2103">
          <a:extLst>
            <a:ext uri="{FF2B5EF4-FFF2-40B4-BE49-F238E27FC236}">
              <a16:creationId xmlns:a16="http://schemas.microsoft.com/office/drawing/2014/main" id="{00000000-0008-0000-0000-000007000000}"/>
            </a:ext>
          </a:extLst>
        </xdr:cNvPr>
        <xdr:cNvSpPr txBox="1"/>
      </xdr:nvSpPr>
      <xdr:spPr>
        <a:xfrm>
          <a:off x="1213866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05" name="TextBox 2104">
          <a:extLst>
            <a:ext uri="{FF2B5EF4-FFF2-40B4-BE49-F238E27FC236}">
              <a16:creationId xmlns:a16="http://schemas.microsoft.com/office/drawing/2014/main" id="{00000000-0008-0000-0000-000007000000}"/>
            </a:ext>
          </a:extLst>
        </xdr:cNvPr>
        <xdr:cNvSpPr txBox="1"/>
      </xdr:nvSpPr>
      <xdr:spPr>
        <a:xfrm>
          <a:off x="1213866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106" name="TextBox 2105">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107" name="TextBox 2106">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108" name="TextBox 2107">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109" name="TextBox 2108">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10" name="TextBox 2109">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11" name="TextBox 2110">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12" name="TextBox 2111">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13" name="TextBox 2112">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14" name="TextBox 2113">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15" name="TextBox 2114">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16" name="TextBox 2115">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17" name="TextBox 2116">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18" name="TextBox 2117">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19" name="TextBox 2118">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20" name="TextBox 2119">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121" name="TextBox 2120">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22" name="TextBox 2121">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23" name="TextBox 2122">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24" name="TextBox 2123">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25" name="TextBox 2124">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26" name="TextBox 2125">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27" name="TextBox 2126">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28" name="TextBox 2127">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29" name="TextBox 2128">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30" name="TextBox 2129">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31" name="TextBox 2130">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32" name="TextBox 2131">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33" name="TextBox 2132">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34" name="TextBox 2133">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35" name="TextBox 2134">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36" name="TextBox 2135">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37" name="TextBox 2136">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38" name="TextBox 2137">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39" name="TextBox 2138">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40" name="TextBox 2139">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41" name="TextBox 2140">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42" name="TextBox 2141">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43" name="TextBox 2142">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44" name="TextBox 2143">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45" name="TextBox 2144">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46" name="TextBox 2145">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47" name="TextBox 2146">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48" name="TextBox 2147">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49" name="TextBox 2148">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50" name="TextBox 2149">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51" name="TextBox 2150">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52" name="TextBox 2151">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53" name="TextBox 2152">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54" name="TextBox 2153">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55" name="TextBox 2154">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56" name="TextBox 2155">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57" name="TextBox 2156">
          <a:extLst>
            <a:ext uri="{FF2B5EF4-FFF2-40B4-BE49-F238E27FC236}">
              <a16:creationId xmlns:a16="http://schemas.microsoft.com/office/drawing/2014/main" id="{00000000-0008-0000-0000-000007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58" name="TextBox 2157">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59" name="TextBox 2158">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60" name="TextBox 2159">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61" name="TextBox 2160">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62" name="TextBox 2161">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63" name="TextBox 2162">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64" name="TextBox 2163">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165" name="TextBox 2164">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66" name="TextBox 2165">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67" name="TextBox 2166">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68" name="TextBox 2167">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69" name="TextBox 2168">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70" name="TextBox 2169">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71" name="TextBox 2170">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72" name="TextBox 2171">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73" name="TextBox 2172">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74" name="TextBox 2173">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75" name="TextBox 2174">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76" name="TextBox 2175">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77" name="TextBox 2176">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78" name="TextBox 2177">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79" name="TextBox 2178">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80" name="TextBox 2179">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81" name="TextBox 2180">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82" name="TextBox 2181">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83" name="TextBox 2182">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84" name="TextBox 2183">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85" name="TextBox 2184">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86" name="TextBox 2185">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87" name="TextBox 2186">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88" name="TextBox 2187">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89" name="TextBox 2188">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90" name="TextBox 2189">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91" name="TextBox 2190">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92" name="TextBox 2191">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93" name="TextBox 2192">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94" name="TextBox 2193">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95" name="TextBox 2194">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96" name="TextBox 2195">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97" name="TextBox 2196">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98" name="TextBox 2197">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199" name="TextBox 2198">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00" name="TextBox 2199">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01" name="TextBox 2200">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02" name="TextBox 2201">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03" name="TextBox 2202">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04" name="TextBox 2203">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05" name="TextBox 2204">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06" name="TextBox 2205">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07" name="TextBox 2206">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08" name="TextBox 2207">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09" name="TextBox 2208">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10" name="TextBox 2209">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11" name="TextBox 2210">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12" name="TextBox 2211">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13" name="TextBox 2212">
          <a:extLst>
            <a:ext uri="{FF2B5EF4-FFF2-40B4-BE49-F238E27FC236}">
              <a16:creationId xmlns:a16="http://schemas.microsoft.com/office/drawing/2014/main" id="{00000000-0008-0000-0000-00000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14" name="TextBox 2213">
          <a:extLst>
            <a:ext uri="{FF2B5EF4-FFF2-40B4-BE49-F238E27FC236}">
              <a16:creationId xmlns:a16="http://schemas.microsoft.com/office/drawing/2014/main" id="{00000000-0008-0000-0000-000007000000}"/>
            </a:ext>
          </a:extLst>
        </xdr:cNvPr>
        <xdr:cNvSpPr txBox="1"/>
      </xdr:nvSpPr>
      <xdr:spPr>
        <a:xfrm>
          <a:off x="1213866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15" name="TextBox 2214">
          <a:extLst>
            <a:ext uri="{FF2B5EF4-FFF2-40B4-BE49-F238E27FC236}">
              <a16:creationId xmlns:a16="http://schemas.microsoft.com/office/drawing/2014/main" id="{00000000-0008-0000-0000-000007000000}"/>
            </a:ext>
          </a:extLst>
        </xdr:cNvPr>
        <xdr:cNvSpPr txBox="1"/>
      </xdr:nvSpPr>
      <xdr:spPr>
        <a:xfrm>
          <a:off x="1213866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16" name="TextBox 2215">
          <a:extLst>
            <a:ext uri="{FF2B5EF4-FFF2-40B4-BE49-F238E27FC236}">
              <a16:creationId xmlns:a16="http://schemas.microsoft.com/office/drawing/2014/main" id="{00000000-0008-0000-0000-000007000000}"/>
            </a:ext>
          </a:extLst>
        </xdr:cNvPr>
        <xdr:cNvSpPr txBox="1"/>
      </xdr:nvSpPr>
      <xdr:spPr>
        <a:xfrm>
          <a:off x="1213866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17" name="TextBox 2216">
          <a:extLst>
            <a:ext uri="{FF2B5EF4-FFF2-40B4-BE49-F238E27FC236}">
              <a16:creationId xmlns:a16="http://schemas.microsoft.com/office/drawing/2014/main" id="{00000000-0008-0000-0000-000007000000}"/>
            </a:ext>
          </a:extLst>
        </xdr:cNvPr>
        <xdr:cNvSpPr txBox="1"/>
      </xdr:nvSpPr>
      <xdr:spPr>
        <a:xfrm>
          <a:off x="1213866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18" name="TextBox 2217">
          <a:extLst>
            <a:ext uri="{FF2B5EF4-FFF2-40B4-BE49-F238E27FC236}">
              <a16:creationId xmlns:a16="http://schemas.microsoft.com/office/drawing/2014/main" id="{00000000-0008-0000-0000-000007000000}"/>
            </a:ext>
          </a:extLst>
        </xdr:cNvPr>
        <xdr:cNvSpPr txBox="1"/>
      </xdr:nvSpPr>
      <xdr:spPr>
        <a:xfrm>
          <a:off x="1213866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19" name="TextBox 2218">
          <a:extLst>
            <a:ext uri="{FF2B5EF4-FFF2-40B4-BE49-F238E27FC236}">
              <a16:creationId xmlns:a16="http://schemas.microsoft.com/office/drawing/2014/main" id="{00000000-0008-0000-0000-000007000000}"/>
            </a:ext>
          </a:extLst>
        </xdr:cNvPr>
        <xdr:cNvSpPr txBox="1"/>
      </xdr:nvSpPr>
      <xdr:spPr>
        <a:xfrm>
          <a:off x="1213866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20" name="TextBox 2219">
          <a:extLst>
            <a:ext uri="{FF2B5EF4-FFF2-40B4-BE49-F238E27FC236}">
              <a16:creationId xmlns:a16="http://schemas.microsoft.com/office/drawing/2014/main" id="{00000000-0008-0000-0000-000007000000}"/>
            </a:ext>
          </a:extLst>
        </xdr:cNvPr>
        <xdr:cNvSpPr txBox="1"/>
      </xdr:nvSpPr>
      <xdr:spPr>
        <a:xfrm>
          <a:off x="1213866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221" name="TextBox 2220">
          <a:extLst>
            <a:ext uri="{FF2B5EF4-FFF2-40B4-BE49-F238E27FC236}">
              <a16:creationId xmlns:a16="http://schemas.microsoft.com/office/drawing/2014/main" id="{00000000-0008-0000-0000-000007000000}"/>
            </a:ext>
          </a:extLst>
        </xdr:cNvPr>
        <xdr:cNvSpPr txBox="1"/>
      </xdr:nvSpPr>
      <xdr:spPr>
        <a:xfrm>
          <a:off x="1213866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22" name="TextBox 2221">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23" name="TextBox 2222">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24" name="TextBox 2223">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25" name="TextBox 2224">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26" name="TextBox 2225">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27" name="TextBox 2226">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28" name="TextBox 2227">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29" name="TextBox 2228">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30" name="TextBox 2229">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31" name="TextBox 2230">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32" name="TextBox 2231">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33" name="TextBox 2232">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34" name="TextBox 2233">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35" name="TextBox 2234">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36" name="TextBox 2235">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37" name="TextBox 2236">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38" name="TextBox 2237">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39" name="TextBox 2238">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40" name="TextBox 2239">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41" name="TextBox 2240">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42" name="TextBox 2241">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43" name="TextBox 2242">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44" name="TextBox 2243">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45" name="TextBox 2244">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46" name="TextBox 2245">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47" name="TextBox 2246">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48" name="TextBox 2247">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49" name="TextBox 2248">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50" name="TextBox 2249">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51" name="TextBox 2250">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52" name="TextBox 2251">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53" name="TextBox 2252">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54" name="TextBox 2253">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55" name="TextBox 2254">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56" name="TextBox 2255">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57" name="TextBox 2256">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58" name="TextBox 2257">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59" name="TextBox 2258">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60" name="TextBox 2259">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61" name="TextBox 2260">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62" name="TextBox 2261">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63" name="TextBox 2262">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64" name="TextBox 2263">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65" name="TextBox 2264">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66" name="TextBox 2265">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67" name="TextBox 2266">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68" name="TextBox 2267">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69" name="TextBox 2268">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70" name="TextBox 2269">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71" name="TextBox 2270">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72" name="TextBox 2271">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73" name="TextBox 2272">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74" name="TextBox 2273">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75" name="TextBox 2274">
          <a:extLst>
            <a:ext uri="{FF2B5EF4-FFF2-40B4-BE49-F238E27FC236}">
              <a16:creationId xmlns:a16="http://schemas.microsoft.com/office/drawing/2014/main" id="{00000000-0008-0000-0000-00000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76" name="TextBox 2275">
          <a:extLst>
            <a:ext uri="{FF2B5EF4-FFF2-40B4-BE49-F238E27FC236}">
              <a16:creationId xmlns:a16="http://schemas.microsoft.com/office/drawing/2014/main" id="{00000000-0008-0000-0000-000007000000}"/>
            </a:ext>
          </a:extLst>
        </xdr:cNvPr>
        <xdr:cNvSpPr txBox="1"/>
      </xdr:nvSpPr>
      <xdr:spPr>
        <a:xfrm>
          <a:off x="1213866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77" name="TextBox 2276">
          <a:extLst>
            <a:ext uri="{FF2B5EF4-FFF2-40B4-BE49-F238E27FC236}">
              <a16:creationId xmlns:a16="http://schemas.microsoft.com/office/drawing/2014/main" id="{00000000-0008-0000-0000-000007000000}"/>
            </a:ext>
          </a:extLst>
        </xdr:cNvPr>
        <xdr:cNvSpPr txBox="1"/>
      </xdr:nvSpPr>
      <xdr:spPr>
        <a:xfrm>
          <a:off x="1213866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78" name="TextBox 2277">
          <a:extLst>
            <a:ext uri="{FF2B5EF4-FFF2-40B4-BE49-F238E27FC236}">
              <a16:creationId xmlns:a16="http://schemas.microsoft.com/office/drawing/2014/main" id="{00000000-0008-0000-0000-000007000000}"/>
            </a:ext>
          </a:extLst>
        </xdr:cNvPr>
        <xdr:cNvSpPr txBox="1"/>
      </xdr:nvSpPr>
      <xdr:spPr>
        <a:xfrm>
          <a:off x="1213866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79" name="TextBox 2278">
          <a:extLst>
            <a:ext uri="{FF2B5EF4-FFF2-40B4-BE49-F238E27FC236}">
              <a16:creationId xmlns:a16="http://schemas.microsoft.com/office/drawing/2014/main" id="{00000000-0008-0000-0000-000007000000}"/>
            </a:ext>
          </a:extLst>
        </xdr:cNvPr>
        <xdr:cNvSpPr txBox="1"/>
      </xdr:nvSpPr>
      <xdr:spPr>
        <a:xfrm>
          <a:off x="1213866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80" name="TextBox 2279">
          <a:extLst>
            <a:ext uri="{FF2B5EF4-FFF2-40B4-BE49-F238E27FC236}">
              <a16:creationId xmlns:a16="http://schemas.microsoft.com/office/drawing/2014/main" id="{00000000-0008-0000-0000-000007000000}"/>
            </a:ext>
          </a:extLst>
        </xdr:cNvPr>
        <xdr:cNvSpPr txBox="1"/>
      </xdr:nvSpPr>
      <xdr:spPr>
        <a:xfrm>
          <a:off x="1213866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81" name="TextBox 2280">
          <a:extLst>
            <a:ext uri="{FF2B5EF4-FFF2-40B4-BE49-F238E27FC236}">
              <a16:creationId xmlns:a16="http://schemas.microsoft.com/office/drawing/2014/main" id="{00000000-0008-0000-0000-000007000000}"/>
            </a:ext>
          </a:extLst>
        </xdr:cNvPr>
        <xdr:cNvSpPr txBox="1"/>
      </xdr:nvSpPr>
      <xdr:spPr>
        <a:xfrm>
          <a:off x="1213866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82" name="TextBox 2281">
          <a:extLst>
            <a:ext uri="{FF2B5EF4-FFF2-40B4-BE49-F238E27FC236}">
              <a16:creationId xmlns:a16="http://schemas.microsoft.com/office/drawing/2014/main" id="{00000000-0008-0000-0000-000007000000}"/>
            </a:ext>
          </a:extLst>
        </xdr:cNvPr>
        <xdr:cNvSpPr txBox="1"/>
      </xdr:nvSpPr>
      <xdr:spPr>
        <a:xfrm>
          <a:off x="1213866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283" name="TextBox 2282">
          <a:extLst>
            <a:ext uri="{FF2B5EF4-FFF2-40B4-BE49-F238E27FC236}">
              <a16:creationId xmlns:a16="http://schemas.microsoft.com/office/drawing/2014/main" id="{00000000-0008-0000-0000-000007000000}"/>
            </a:ext>
          </a:extLst>
        </xdr:cNvPr>
        <xdr:cNvSpPr txBox="1"/>
      </xdr:nvSpPr>
      <xdr:spPr>
        <a:xfrm>
          <a:off x="1213866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84" name="TextBox 228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85" name="TextBox 228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86" name="TextBox 228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87" name="TextBox 228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88" name="TextBox 228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89" name="TextBox 228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90" name="TextBox 2289">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91" name="TextBox 2290">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92" name="TextBox 2291">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93" name="TextBox 2292">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94" name="TextBox 229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95" name="TextBox 229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96" name="TextBox 229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97" name="TextBox 229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98" name="TextBox 229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299" name="TextBox 229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00" name="TextBox 2299">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01" name="TextBox 2300">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02" name="TextBox 2301">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03" name="TextBox 2302">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04" name="TextBox 230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05" name="TextBox 230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06" name="TextBox 230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07" name="TextBox 230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08" name="TextBox 230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09" name="TextBox 230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10" name="TextBox 2309">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11" name="TextBox 2310">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12" name="TextBox 2311">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13" name="TextBox 2312">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14" name="TextBox 231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15" name="TextBox 231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16" name="TextBox 231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17" name="TextBox 231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18" name="TextBox 231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19" name="TextBox 231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20" name="TextBox 2319">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21" name="TextBox 2320">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22" name="TextBox 2321">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23" name="TextBox 2322">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24" name="TextBox 232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25" name="TextBox 232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26" name="TextBox 232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27" name="TextBox 232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28" name="TextBox 232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29" name="TextBox 232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30" name="TextBox 2329">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31" name="TextBox 2330">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32" name="TextBox 2331">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33" name="TextBox 2332">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34" name="TextBox 233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35" name="TextBox 233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36" name="TextBox 233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37" name="TextBox 233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38" name="TextBox 233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39" name="TextBox 233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40" name="TextBox 2339">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41" name="TextBox 2340">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42" name="TextBox 2341">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43" name="TextBox 2342">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44" name="TextBox 2343">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45" name="TextBox 2344">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46" name="TextBox 2345">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347" name="TextBox 2346">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48" name="TextBox 2347">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49" name="TextBox 2348">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50" name="TextBox 2349">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51" name="TextBox 2350">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52" name="TextBox 2351">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53" name="TextBox 2352">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54" name="TextBox 2353">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55" name="TextBox 2354">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56" name="TextBox 2355">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57" name="TextBox 2356">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58" name="TextBox 2357">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59" name="TextBox 2358">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60" name="TextBox 2359">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61" name="TextBox 2360">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62" name="TextBox 2361">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63" name="TextBox 2362">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64" name="TextBox 2363">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65" name="TextBox 2364">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66" name="TextBox 2365">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67" name="TextBox 2366">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68" name="TextBox 2367">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69" name="TextBox 2368">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70" name="TextBox 2369">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71" name="TextBox 2370">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72" name="TextBox 2371">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73" name="TextBox 2372">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74" name="TextBox 2373">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75" name="TextBox 2374">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76" name="TextBox 2375">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77" name="TextBox 2376">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78" name="TextBox 2377">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79" name="TextBox 2378">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80" name="TextBox 2379">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81" name="TextBox 2380">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82" name="TextBox 2381">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83" name="TextBox 2382">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84" name="TextBox 2383">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85" name="TextBox 2384">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86" name="TextBox 2385">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87" name="TextBox 2386">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88" name="TextBox 2387">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89" name="TextBox 2388">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90" name="TextBox 2389">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91" name="TextBox 2390">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92" name="TextBox 2391">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93" name="TextBox 2392">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94" name="TextBox 2393">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95" name="TextBox 2394">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96" name="TextBox 2395">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97" name="TextBox 2396">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98" name="TextBox 2397">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399" name="TextBox 2398">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00" name="TextBox 2399">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01" name="TextBox 2400">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02" name="TextBox 2401">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03" name="TextBox 2402">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04" name="TextBox 2403">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05" name="TextBox 2404">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06" name="TextBox 2405">
          <a:extLst>
            <a:ext uri="{FF2B5EF4-FFF2-40B4-BE49-F238E27FC236}">
              <a16:creationId xmlns:a16="http://schemas.microsoft.com/office/drawing/2014/main" id="{00000000-0008-0000-0000-000007000000}"/>
            </a:ext>
          </a:extLst>
        </xdr:cNvPr>
        <xdr:cNvSpPr txBox="1"/>
      </xdr:nvSpPr>
      <xdr:spPr>
        <a:xfrm>
          <a:off x="1213866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07" name="TextBox 2406">
          <a:extLst>
            <a:ext uri="{FF2B5EF4-FFF2-40B4-BE49-F238E27FC236}">
              <a16:creationId xmlns:a16="http://schemas.microsoft.com/office/drawing/2014/main" id="{00000000-0008-0000-0000-000007000000}"/>
            </a:ext>
          </a:extLst>
        </xdr:cNvPr>
        <xdr:cNvSpPr txBox="1"/>
      </xdr:nvSpPr>
      <xdr:spPr>
        <a:xfrm>
          <a:off x="1213866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08" name="TextBox 2407">
          <a:extLst>
            <a:ext uri="{FF2B5EF4-FFF2-40B4-BE49-F238E27FC236}">
              <a16:creationId xmlns:a16="http://schemas.microsoft.com/office/drawing/2014/main" id="{00000000-0008-0000-0000-000007000000}"/>
            </a:ext>
          </a:extLst>
        </xdr:cNvPr>
        <xdr:cNvSpPr txBox="1"/>
      </xdr:nvSpPr>
      <xdr:spPr>
        <a:xfrm>
          <a:off x="1213866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09" name="TextBox 2408">
          <a:extLst>
            <a:ext uri="{FF2B5EF4-FFF2-40B4-BE49-F238E27FC236}">
              <a16:creationId xmlns:a16="http://schemas.microsoft.com/office/drawing/2014/main" id="{00000000-0008-0000-0000-000007000000}"/>
            </a:ext>
          </a:extLst>
        </xdr:cNvPr>
        <xdr:cNvSpPr txBox="1"/>
      </xdr:nvSpPr>
      <xdr:spPr>
        <a:xfrm>
          <a:off x="1213866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10" name="TextBox 2409">
          <a:extLst>
            <a:ext uri="{FF2B5EF4-FFF2-40B4-BE49-F238E27FC236}">
              <a16:creationId xmlns:a16="http://schemas.microsoft.com/office/drawing/2014/main" id="{00000000-0008-0000-0000-000007000000}"/>
            </a:ext>
          </a:extLst>
        </xdr:cNvPr>
        <xdr:cNvSpPr txBox="1"/>
      </xdr:nvSpPr>
      <xdr:spPr>
        <a:xfrm>
          <a:off x="1213866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11" name="TextBox 2410">
          <a:extLst>
            <a:ext uri="{FF2B5EF4-FFF2-40B4-BE49-F238E27FC236}">
              <a16:creationId xmlns:a16="http://schemas.microsoft.com/office/drawing/2014/main" id="{00000000-0008-0000-0000-000007000000}"/>
            </a:ext>
          </a:extLst>
        </xdr:cNvPr>
        <xdr:cNvSpPr txBox="1"/>
      </xdr:nvSpPr>
      <xdr:spPr>
        <a:xfrm>
          <a:off x="1213866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12" name="TextBox 2411">
          <a:extLst>
            <a:ext uri="{FF2B5EF4-FFF2-40B4-BE49-F238E27FC236}">
              <a16:creationId xmlns:a16="http://schemas.microsoft.com/office/drawing/2014/main" id="{00000000-0008-0000-0000-000007000000}"/>
            </a:ext>
          </a:extLst>
        </xdr:cNvPr>
        <xdr:cNvSpPr txBox="1"/>
      </xdr:nvSpPr>
      <xdr:spPr>
        <a:xfrm>
          <a:off x="1213866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413" name="TextBox 2412">
          <a:extLst>
            <a:ext uri="{FF2B5EF4-FFF2-40B4-BE49-F238E27FC236}">
              <a16:creationId xmlns:a16="http://schemas.microsoft.com/office/drawing/2014/main" id="{00000000-0008-0000-0000-000007000000}"/>
            </a:ext>
          </a:extLst>
        </xdr:cNvPr>
        <xdr:cNvSpPr txBox="1"/>
      </xdr:nvSpPr>
      <xdr:spPr>
        <a:xfrm>
          <a:off x="1213866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414" name="TextBox 2413">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415" name="TextBox 2414">
          <a:extLst>
            <a:ext uri="{FF2B5EF4-FFF2-40B4-BE49-F238E27FC236}">
              <a16:creationId xmlns:a16="http://schemas.microsoft.com/office/drawing/2014/main" id="{00000000-0008-0000-0000-000007000000}"/>
            </a:ext>
          </a:extLst>
        </xdr:cNvPr>
        <xdr:cNvSpPr txBox="1"/>
      </xdr:nvSpPr>
      <xdr:spPr>
        <a:xfrm>
          <a:off x="8267700" y="3347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416" name="TextBox 2415">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417" name="TextBox 2416">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418" name="TextBox 2417">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419" name="TextBox 2418">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420" name="TextBox 2419">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421" name="TextBox 2420">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422" name="TextBox 2421">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423" name="TextBox 2422">
          <a:extLst>
            <a:ext uri="{FF2B5EF4-FFF2-40B4-BE49-F238E27FC236}">
              <a16:creationId xmlns:a16="http://schemas.microsoft.com/office/drawing/2014/main" id="{00000000-0008-0000-0000-000007000000}"/>
            </a:ext>
          </a:extLst>
        </xdr:cNvPr>
        <xdr:cNvSpPr txBox="1"/>
      </xdr:nvSpPr>
      <xdr:spPr>
        <a:xfrm>
          <a:off x="1213866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24" name="TextBox 242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25" name="TextBox 242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26" name="TextBox 242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27" name="TextBox 242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28" name="TextBox 242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29" name="TextBox 242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30" name="TextBox 2429">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31" name="TextBox 2430">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32" name="TextBox 2431">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33" name="TextBox 2432">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34" name="TextBox 243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35" name="TextBox 243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36" name="TextBox 243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37" name="TextBox 243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38" name="TextBox 243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39" name="TextBox 243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40" name="TextBox 2439">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41" name="TextBox 2440">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42" name="TextBox 2441">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43" name="TextBox 2442">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44" name="TextBox 244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45" name="TextBox 244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46" name="TextBox 244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47" name="TextBox 244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48" name="TextBox 244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49" name="TextBox 244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50" name="TextBox 2449">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51" name="TextBox 2450">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52" name="TextBox 2451">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53" name="TextBox 2452">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54" name="TextBox 245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55" name="TextBox 245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56" name="TextBox 245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57" name="TextBox 245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58" name="TextBox 245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59" name="TextBox 245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60" name="TextBox 2459">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61" name="TextBox 2460">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62" name="TextBox 2461">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63" name="TextBox 2462">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64" name="TextBox 246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65" name="TextBox 246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66" name="TextBox 246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67" name="TextBox 246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68" name="TextBox 246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69" name="TextBox 246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70" name="TextBox 2469">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71" name="TextBox 2470">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72" name="TextBox 2471">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73" name="TextBox 2472">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74" name="TextBox 2473">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75" name="TextBox 2474">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76" name="TextBox 2475">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77" name="TextBox 2476">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78" name="TextBox 2477">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79" name="TextBox 2478">
          <a:extLst>
            <a:ext uri="{FF2B5EF4-FFF2-40B4-BE49-F238E27FC236}">
              <a16:creationId xmlns:a16="http://schemas.microsoft.com/office/drawing/2014/main" id="{00000000-0008-0000-0000-00000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80" name="TextBox 2479">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81" name="TextBox 2480">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82" name="TextBox 2481">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83" name="TextBox 2482">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84" name="TextBox 2483">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85" name="TextBox 2484">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86" name="TextBox 2485">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487" name="TextBox 2486">
          <a:extLst>
            <a:ext uri="{FF2B5EF4-FFF2-40B4-BE49-F238E27FC236}">
              <a16:creationId xmlns:a16="http://schemas.microsoft.com/office/drawing/2014/main" id="{00000000-0008-0000-0000-000007000000}"/>
            </a:ext>
          </a:extLst>
        </xdr:cNvPr>
        <xdr:cNvSpPr txBox="1"/>
      </xdr:nvSpPr>
      <xdr:spPr>
        <a:xfrm>
          <a:off x="1213866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2491" name="TextBox 2490">
          <a:extLst>
            <a:ext uri="{FF2B5EF4-FFF2-40B4-BE49-F238E27FC236}">
              <a16:creationId xmlns:a16="http://schemas.microsoft.com/office/drawing/2014/main" id="{00000000-0008-0000-0000-000007000000}"/>
            </a:ext>
          </a:extLst>
        </xdr:cNvPr>
        <xdr:cNvSpPr txBox="1"/>
      </xdr:nvSpPr>
      <xdr:spPr>
        <a:xfrm>
          <a:off x="8267700" y="33093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2495" name="TextBox 2494">
          <a:extLst>
            <a:ext uri="{FF2B5EF4-FFF2-40B4-BE49-F238E27FC236}">
              <a16:creationId xmlns:a16="http://schemas.microsoft.com/office/drawing/2014/main" id="{00000000-0008-0000-0000-000007000000}"/>
            </a:ext>
          </a:extLst>
        </xdr:cNvPr>
        <xdr:cNvSpPr txBox="1"/>
      </xdr:nvSpPr>
      <xdr:spPr>
        <a:xfrm>
          <a:off x="8267700" y="33093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496" name="TextBox 2495">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497" name="TextBox 2496">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498" name="TextBox 2497">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499" name="TextBox 2498">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00" name="TextBox 2499">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01" name="TextBox 2500">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502" name="TextBox 250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503" name="TextBox 250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504" name="TextBox 250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505" name="TextBox 250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506" name="TextBox 250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507" name="TextBox 250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508" name="TextBox 250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509" name="TextBox 250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2510" name="TextBox 2509">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2511" name="TextBox 2510">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2512" name="TextBox 2511">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2513" name="TextBox 2512">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514" name="TextBox 2513">
          <a:extLst>
            <a:ext uri="{FF2B5EF4-FFF2-40B4-BE49-F238E27FC236}">
              <a16:creationId xmlns:a16="http://schemas.microsoft.com/office/drawing/2014/main" id="{00000000-0008-0000-0000-000007000000}"/>
            </a:ext>
          </a:extLst>
        </xdr:cNvPr>
        <xdr:cNvSpPr txBox="1"/>
      </xdr:nvSpPr>
      <xdr:spPr>
        <a:xfrm>
          <a:off x="8267700" y="35943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515" name="TextBox 2514">
          <a:extLst>
            <a:ext uri="{FF2B5EF4-FFF2-40B4-BE49-F238E27FC236}">
              <a16:creationId xmlns:a16="http://schemas.microsoft.com/office/drawing/2014/main" id="{00000000-0008-0000-0000-000007000000}"/>
            </a:ext>
          </a:extLst>
        </xdr:cNvPr>
        <xdr:cNvSpPr txBox="1"/>
      </xdr:nvSpPr>
      <xdr:spPr>
        <a:xfrm>
          <a:off x="8267700" y="35943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16" name="TextBox 2515">
          <a:extLst>
            <a:ext uri="{FF2B5EF4-FFF2-40B4-BE49-F238E27FC236}">
              <a16:creationId xmlns:a16="http://schemas.microsoft.com/office/drawing/2014/main" id="{00000000-0008-0000-0000-000007000000}"/>
            </a:ext>
          </a:extLst>
        </xdr:cNvPr>
        <xdr:cNvSpPr txBox="1"/>
      </xdr:nvSpPr>
      <xdr:spPr>
        <a:xfrm>
          <a:off x="8267700" y="3612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17" name="TextBox 2516">
          <a:extLst>
            <a:ext uri="{FF2B5EF4-FFF2-40B4-BE49-F238E27FC236}">
              <a16:creationId xmlns:a16="http://schemas.microsoft.com/office/drawing/2014/main" id="{00000000-0008-0000-0000-000007000000}"/>
            </a:ext>
          </a:extLst>
        </xdr:cNvPr>
        <xdr:cNvSpPr txBox="1"/>
      </xdr:nvSpPr>
      <xdr:spPr>
        <a:xfrm>
          <a:off x="8267700" y="3612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2518" name="TextBox 2517">
          <a:extLst>
            <a:ext uri="{FF2B5EF4-FFF2-40B4-BE49-F238E27FC236}">
              <a16:creationId xmlns:a16="http://schemas.microsoft.com/office/drawing/2014/main" id="{00000000-0008-0000-0000-000007000000}"/>
            </a:ext>
          </a:extLst>
        </xdr:cNvPr>
        <xdr:cNvSpPr txBox="1"/>
      </xdr:nvSpPr>
      <xdr:spPr>
        <a:xfrm>
          <a:off x="8267700" y="36309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2519" name="TextBox 2518">
          <a:extLst>
            <a:ext uri="{FF2B5EF4-FFF2-40B4-BE49-F238E27FC236}">
              <a16:creationId xmlns:a16="http://schemas.microsoft.com/office/drawing/2014/main" id="{00000000-0008-0000-0000-000007000000}"/>
            </a:ext>
          </a:extLst>
        </xdr:cNvPr>
        <xdr:cNvSpPr txBox="1"/>
      </xdr:nvSpPr>
      <xdr:spPr>
        <a:xfrm>
          <a:off x="8267700" y="36309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2520" name="TextBox 2519">
          <a:extLst>
            <a:ext uri="{FF2B5EF4-FFF2-40B4-BE49-F238E27FC236}">
              <a16:creationId xmlns:a16="http://schemas.microsoft.com/office/drawing/2014/main" id="{00000000-0008-0000-0000-000007000000}"/>
            </a:ext>
          </a:extLst>
        </xdr:cNvPr>
        <xdr:cNvSpPr txBox="1"/>
      </xdr:nvSpPr>
      <xdr:spPr>
        <a:xfrm>
          <a:off x="8267700" y="36492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2521" name="TextBox 2520">
          <a:extLst>
            <a:ext uri="{FF2B5EF4-FFF2-40B4-BE49-F238E27FC236}">
              <a16:creationId xmlns:a16="http://schemas.microsoft.com/office/drawing/2014/main" id="{00000000-0008-0000-0000-000007000000}"/>
            </a:ext>
          </a:extLst>
        </xdr:cNvPr>
        <xdr:cNvSpPr txBox="1"/>
      </xdr:nvSpPr>
      <xdr:spPr>
        <a:xfrm>
          <a:off x="8267700" y="36492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2522" name="TextBox 2521">
          <a:extLst>
            <a:ext uri="{FF2B5EF4-FFF2-40B4-BE49-F238E27FC236}">
              <a16:creationId xmlns:a16="http://schemas.microsoft.com/office/drawing/2014/main" id="{00000000-0008-0000-0000-000007000000}"/>
            </a:ext>
          </a:extLst>
        </xdr:cNvPr>
        <xdr:cNvSpPr txBox="1"/>
      </xdr:nvSpPr>
      <xdr:spPr>
        <a:xfrm>
          <a:off x="8267700" y="36675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2523" name="TextBox 2522">
          <a:extLst>
            <a:ext uri="{FF2B5EF4-FFF2-40B4-BE49-F238E27FC236}">
              <a16:creationId xmlns:a16="http://schemas.microsoft.com/office/drawing/2014/main" id="{00000000-0008-0000-0000-000007000000}"/>
            </a:ext>
          </a:extLst>
        </xdr:cNvPr>
        <xdr:cNvSpPr txBox="1"/>
      </xdr:nvSpPr>
      <xdr:spPr>
        <a:xfrm>
          <a:off x="8267700" y="36675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2524" name="TextBox 2523">
          <a:extLst>
            <a:ext uri="{FF2B5EF4-FFF2-40B4-BE49-F238E27FC236}">
              <a16:creationId xmlns:a16="http://schemas.microsoft.com/office/drawing/2014/main" id="{00000000-0008-0000-0000-000007000000}"/>
            </a:ext>
          </a:extLst>
        </xdr:cNvPr>
        <xdr:cNvSpPr txBox="1"/>
      </xdr:nvSpPr>
      <xdr:spPr>
        <a:xfrm>
          <a:off x="8267700" y="3777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2525" name="TextBox 2524">
          <a:extLst>
            <a:ext uri="{FF2B5EF4-FFF2-40B4-BE49-F238E27FC236}">
              <a16:creationId xmlns:a16="http://schemas.microsoft.com/office/drawing/2014/main" id="{00000000-0008-0000-0000-000007000000}"/>
            </a:ext>
          </a:extLst>
        </xdr:cNvPr>
        <xdr:cNvSpPr txBox="1"/>
      </xdr:nvSpPr>
      <xdr:spPr>
        <a:xfrm>
          <a:off x="8267700" y="3777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2526" name="TextBox 2525">
          <a:extLst>
            <a:ext uri="{FF2B5EF4-FFF2-40B4-BE49-F238E27FC236}">
              <a16:creationId xmlns:a16="http://schemas.microsoft.com/office/drawing/2014/main" id="{00000000-0008-0000-0000-000007000000}"/>
            </a:ext>
          </a:extLst>
        </xdr:cNvPr>
        <xdr:cNvSpPr txBox="1"/>
      </xdr:nvSpPr>
      <xdr:spPr>
        <a:xfrm>
          <a:off x="8267700" y="3795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2527" name="TextBox 2526">
          <a:extLst>
            <a:ext uri="{FF2B5EF4-FFF2-40B4-BE49-F238E27FC236}">
              <a16:creationId xmlns:a16="http://schemas.microsoft.com/office/drawing/2014/main" id="{00000000-0008-0000-0000-000007000000}"/>
            </a:ext>
          </a:extLst>
        </xdr:cNvPr>
        <xdr:cNvSpPr txBox="1"/>
      </xdr:nvSpPr>
      <xdr:spPr>
        <a:xfrm>
          <a:off x="8267700" y="3795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2528" name="TextBox 2527">
          <a:extLst>
            <a:ext uri="{FF2B5EF4-FFF2-40B4-BE49-F238E27FC236}">
              <a16:creationId xmlns:a16="http://schemas.microsoft.com/office/drawing/2014/main" id="{00000000-0008-0000-0000-000007000000}"/>
            </a:ext>
          </a:extLst>
        </xdr:cNvPr>
        <xdr:cNvSpPr txBox="1"/>
      </xdr:nvSpPr>
      <xdr:spPr>
        <a:xfrm>
          <a:off x="8267700" y="38138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2529" name="TextBox 2528">
          <a:extLst>
            <a:ext uri="{FF2B5EF4-FFF2-40B4-BE49-F238E27FC236}">
              <a16:creationId xmlns:a16="http://schemas.microsoft.com/office/drawing/2014/main" id="{00000000-0008-0000-0000-000007000000}"/>
            </a:ext>
          </a:extLst>
        </xdr:cNvPr>
        <xdr:cNvSpPr txBox="1"/>
      </xdr:nvSpPr>
      <xdr:spPr>
        <a:xfrm>
          <a:off x="8267700" y="38138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2530" name="TextBox 2529">
          <a:extLst>
            <a:ext uri="{FF2B5EF4-FFF2-40B4-BE49-F238E27FC236}">
              <a16:creationId xmlns:a16="http://schemas.microsoft.com/office/drawing/2014/main" id="{00000000-0008-0000-0000-000007000000}"/>
            </a:ext>
          </a:extLst>
        </xdr:cNvPr>
        <xdr:cNvSpPr txBox="1"/>
      </xdr:nvSpPr>
      <xdr:spPr>
        <a:xfrm>
          <a:off x="8267700" y="3832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2531" name="TextBox 2530">
          <a:extLst>
            <a:ext uri="{FF2B5EF4-FFF2-40B4-BE49-F238E27FC236}">
              <a16:creationId xmlns:a16="http://schemas.microsoft.com/office/drawing/2014/main" id="{00000000-0008-0000-0000-000007000000}"/>
            </a:ext>
          </a:extLst>
        </xdr:cNvPr>
        <xdr:cNvSpPr txBox="1"/>
      </xdr:nvSpPr>
      <xdr:spPr>
        <a:xfrm>
          <a:off x="8267700" y="3832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2532" name="TextBox 2531">
          <a:extLst>
            <a:ext uri="{FF2B5EF4-FFF2-40B4-BE49-F238E27FC236}">
              <a16:creationId xmlns:a16="http://schemas.microsoft.com/office/drawing/2014/main" id="{00000000-0008-0000-0000-000007000000}"/>
            </a:ext>
          </a:extLst>
        </xdr:cNvPr>
        <xdr:cNvSpPr txBox="1"/>
      </xdr:nvSpPr>
      <xdr:spPr>
        <a:xfrm>
          <a:off x="8267700" y="38503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2533" name="TextBox 2532">
          <a:extLst>
            <a:ext uri="{FF2B5EF4-FFF2-40B4-BE49-F238E27FC236}">
              <a16:creationId xmlns:a16="http://schemas.microsoft.com/office/drawing/2014/main" id="{00000000-0008-0000-0000-000007000000}"/>
            </a:ext>
          </a:extLst>
        </xdr:cNvPr>
        <xdr:cNvSpPr txBox="1"/>
      </xdr:nvSpPr>
      <xdr:spPr>
        <a:xfrm>
          <a:off x="8267700" y="38503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34" name="TextBox 2533">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35" name="TextBox 2534">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36" name="TextBox 2535">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37" name="TextBox 2536">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38" name="TextBox 2537">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39" name="TextBox 2538">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40" name="TextBox 2539">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41" name="TextBox 2540">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42" name="TextBox 2541">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43" name="TextBox 2542">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44" name="TextBox 2543">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45" name="TextBox 2544">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46" name="TextBox 2545">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47" name="TextBox 2546">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48" name="TextBox 2547">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49" name="TextBox 2548">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50" name="TextBox 2549">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51" name="TextBox 2550">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52" name="TextBox 2551">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2553" name="TextBox 2552">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54" name="TextBox 2553">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55" name="TextBox 2554">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56" name="TextBox 2555">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57" name="TextBox 2556">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558" name="TextBox 255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559" name="TextBox 255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560" name="TextBox 255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561" name="TextBox 256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562" name="TextBox 2561">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563" name="TextBox 2562">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64" name="TextBox 2563">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65" name="TextBox 2564">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66" name="TextBox 2565">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67" name="TextBox 2566">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68" name="TextBox 2567">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69" name="TextBox 2568">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70" name="TextBox 2569">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71" name="TextBox 2570">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72" name="TextBox 2571">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73" name="TextBox 2572">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74" name="TextBox 257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575" name="TextBox 257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576" name="TextBox 2575">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577" name="TextBox 2576">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578" name="TextBox 2577">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579" name="TextBox 2578">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80" name="TextBox 2579">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81" name="TextBox 2580">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82" name="TextBox 2581">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83" name="TextBox 2582">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84" name="TextBox 2583">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85" name="TextBox 2584">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86" name="TextBox 2585">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87" name="TextBox 2586">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88" name="TextBox 2587">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89" name="TextBox 2588">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90" name="TextBox 2589">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91" name="TextBox 2590">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92" name="TextBox 2591">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93" name="TextBox 2592">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94" name="TextBox 2593">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95" name="TextBox 2594">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96" name="TextBox 2595">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97" name="TextBox 2596">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98" name="TextBox 2597">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599" name="TextBox 2598">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00" name="TextBox 2599">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01" name="TextBox 2600">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02" name="TextBox 2601">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03" name="TextBox 2602">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604" name="TextBox 2603">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605" name="TextBox 2604">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606" name="TextBox 2605">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607" name="TextBox 2606">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08" name="TextBox 2607">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09" name="TextBox 2608">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10" name="TextBox 2609">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11" name="TextBox 2610">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12" name="TextBox 2611">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13" name="TextBox 2612">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14" name="TextBox 2613">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15" name="TextBox 2614">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16" name="TextBox 2615">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17" name="TextBox 2616">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18" name="TextBox 2617">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619" name="TextBox 2618">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20" name="TextBox 2619">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21" name="TextBox 2620">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22" name="TextBox 2621">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23" name="TextBox 2622">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24" name="TextBox 262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25" name="TextBox 262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26" name="TextBox 2625">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27" name="TextBox 2626">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28" name="TextBox 2627">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29" name="TextBox 2628">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30" name="TextBox 2629">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31" name="TextBox 2630">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32" name="TextBox 2631">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33" name="TextBox 2632">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34" name="TextBox 263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35" name="TextBox 263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36" name="TextBox 2635">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37" name="TextBox 2636">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38" name="TextBox 2637">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39" name="TextBox 2638">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40" name="TextBox 2639">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41" name="TextBox 2640">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42" name="TextBox 2641">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43" name="TextBox 2642">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44" name="TextBox 264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45" name="TextBox 264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46" name="TextBox 2645">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47" name="TextBox 2646">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48" name="TextBox 2647">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49" name="TextBox 2648">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50" name="TextBox 2649">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51" name="TextBox 2650">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52" name="TextBox 2651">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53" name="TextBox 2652">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54" name="TextBox 265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55" name="TextBox 265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56" name="TextBox 2655">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57" name="TextBox 2656">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58" name="TextBox 2657">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59" name="TextBox 2658">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60" name="TextBox 2659">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61" name="TextBox 2660">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62" name="TextBox 2661">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663" name="TextBox 2662">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64" name="TextBox 266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65" name="TextBox 266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66" name="TextBox 266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67" name="TextBox 266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68" name="TextBox 266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69" name="TextBox 266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70" name="TextBox 266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71" name="TextBox 267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72" name="TextBox 267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73" name="TextBox 267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74" name="TextBox 267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75" name="TextBox 267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76" name="TextBox 267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77" name="TextBox 267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78" name="TextBox 267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79" name="TextBox 267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80" name="TextBox 267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81" name="TextBox 268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82" name="TextBox 268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83" name="TextBox 268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84" name="TextBox 268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85" name="TextBox 268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86" name="TextBox 268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87" name="TextBox 268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88" name="TextBox 268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89" name="TextBox 268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90" name="TextBox 268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91" name="TextBox 269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92" name="TextBox 269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93" name="TextBox 269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94" name="TextBox 269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95" name="TextBox 269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96" name="TextBox 269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97" name="TextBox 269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98" name="TextBox 269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699" name="TextBox 269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00" name="TextBox 269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01" name="TextBox 270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02" name="TextBox 270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03" name="TextBox 270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04" name="TextBox 270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05" name="TextBox 270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06" name="TextBox 270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07" name="TextBox 270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08" name="TextBox 270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09" name="TextBox 270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10" name="TextBox 270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11" name="TextBox 271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12" name="TextBox 2711">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13" name="TextBox 2712">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14" name="TextBox 2713">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15" name="TextBox 2714">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16" name="TextBox 2715">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17" name="TextBox 2716">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18" name="TextBox 2717">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719" name="TextBox 2718">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20" name="TextBox 271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21" name="TextBox 272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22" name="TextBox 272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23" name="TextBox 272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24" name="TextBox 272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25" name="TextBox 272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26" name="TextBox 272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27" name="TextBox 272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28" name="TextBox 272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29" name="TextBox 272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30" name="TextBox 272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31" name="TextBox 273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32" name="TextBox 273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33" name="TextBox 273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34" name="TextBox 273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35" name="TextBox 273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36" name="TextBox 273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37" name="TextBox 273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38" name="TextBox 273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39" name="TextBox 273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40" name="TextBox 273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41" name="TextBox 274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42" name="TextBox 274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43" name="TextBox 274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44" name="TextBox 274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45" name="TextBox 274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46" name="TextBox 274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47" name="TextBox 274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48" name="TextBox 274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49" name="TextBox 274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50" name="TextBox 274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51" name="TextBox 275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52" name="TextBox 275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53" name="TextBox 275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54" name="TextBox 275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55" name="TextBox 275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56" name="TextBox 275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57" name="TextBox 275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58" name="TextBox 275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59" name="TextBox 275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60" name="TextBox 275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61" name="TextBox 276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62" name="TextBox 276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63" name="TextBox 276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64" name="TextBox 276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65" name="TextBox 276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66" name="TextBox 276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67" name="TextBox 276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68" name="TextBox 276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69" name="TextBox 276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70" name="TextBox 276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71" name="TextBox 277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72" name="TextBox 277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73" name="TextBox 277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74" name="TextBox 2773">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75" name="TextBox 2774">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76" name="TextBox 2775">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77" name="TextBox 2776">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78" name="TextBox 2777">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79" name="TextBox 2778">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80" name="TextBox 2779">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781" name="TextBox 2780">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82" name="TextBox 278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83" name="TextBox 278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84" name="TextBox 278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85" name="TextBox 278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86" name="TextBox 278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87" name="TextBox 278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88" name="TextBox 278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89" name="TextBox 278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90" name="TextBox 278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91" name="TextBox 279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92" name="TextBox 279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93" name="TextBox 279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94" name="TextBox 279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95" name="TextBox 279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96" name="TextBox 279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97" name="TextBox 279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98" name="TextBox 279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799" name="TextBox 279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00" name="TextBox 279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01" name="TextBox 280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02" name="TextBox 280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03" name="TextBox 280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04" name="TextBox 280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05" name="TextBox 280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06" name="TextBox 280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07" name="TextBox 280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08" name="TextBox 280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09" name="TextBox 280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10" name="TextBox 280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11" name="TextBox 281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12" name="TextBox 281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13" name="TextBox 281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14" name="TextBox 281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15" name="TextBox 281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16" name="TextBox 281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17" name="TextBox 281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18" name="TextBox 281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19" name="TextBox 281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20" name="TextBox 281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21" name="TextBox 282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22" name="TextBox 282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23" name="TextBox 282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24" name="TextBox 282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25" name="TextBox 282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26" name="TextBox 282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27" name="TextBox 282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28" name="TextBox 282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29" name="TextBox 282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30" name="TextBox 282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31" name="TextBox 283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32" name="TextBox 283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33" name="TextBox 283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34" name="TextBox 283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35" name="TextBox 283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36" name="TextBox 283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37" name="TextBox 283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38" name="TextBox 2837">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39" name="TextBox 2838">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40" name="TextBox 2839">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41" name="TextBox 2840">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42" name="TextBox 2841">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43" name="TextBox 2842">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44" name="TextBox 2843">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845" name="TextBox 2844">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46" name="TextBox 284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47" name="TextBox 284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48" name="TextBox 284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49" name="TextBox 284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50" name="TextBox 284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51" name="TextBox 285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52" name="TextBox 285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53" name="TextBox 285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54" name="TextBox 285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55" name="TextBox 285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56" name="TextBox 285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57" name="TextBox 285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58" name="TextBox 285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59" name="TextBox 285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60" name="TextBox 285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61" name="TextBox 286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62" name="TextBox 286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63" name="TextBox 286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64" name="TextBox 286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65" name="TextBox 286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66" name="TextBox 286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67" name="TextBox 286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68" name="TextBox 286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69" name="TextBox 286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70" name="TextBox 286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71" name="TextBox 287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72" name="TextBox 287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73" name="TextBox 287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74" name="TextBox 287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75" name="TextBox 287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76" name="TextBox 287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77" name="TextBox 287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78" name="TextBox 287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79" name="TextBox 287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80" name="TextBox 287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81" name="TextBox 288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82" name="TextBox 288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83" name="TextBox 288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84" name="TextBox 288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85" name="TextBox 288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86" name="TextBox 288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87" name="TextBox 288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88" name="TextBox 288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89" name="TextBox 288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90" name="TextBox 288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91" name="TextBox 289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92" name="TextBox 289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93" name="TextBox 289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94" name="TextBox 289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95" name="TextBox 289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96" name="TextBox 289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97" name="TextBox 289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98" name="TextBox 289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899" name="TextBox 289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00" name="TextBox 289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01" name="TextBox 290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02" name="TextBox 290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03" name="TextBox 290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04" name="TextBox 2903">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05" name="TextBox 2904">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06" name="TextBox 2905">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07" name="TextBox 2906">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08" name="TextBox 2907">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09" name="TextBox 2908">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10" name="TextBox 2909">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2911" name="TextBox 2910">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912" name="TextBox 2911">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913" name="TextBox 2912">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914" name="TextBox 2913">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915" name="TextBox 2914">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916" name="TextBox 2915">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917" name="TextBox 2916">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918" name="TextBox 2917">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919" name="TextBox 2918">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920" name="TextBox 2919">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921" name="TextBox 2920">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22" name="TextBox 292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23" name="TextBox 292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24" name="TextBox 292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25" name="TextBox 292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26" name="TextBox 292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27" name="TextBox 292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28" name="TextBox 292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29" name="TextBox 292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30" name="TextBox 292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31" name="TextBox 293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32" name="TextBox 293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33" name="TextBox 293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34" name="TextBox 293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35" name="TextBox 293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36" name="TextBox 293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37" name="TextBox 293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38" name="TextBox 293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39" name="TextBox 293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40" name="TextBox 293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41" name="TextBox 294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42" name="TextBox 294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43" name="TextBox 294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44" name="TextBox 294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45" name="TextBox 294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46" name="TextBox 294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47" name="TextBox 294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48" name="TextBox 294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49" name="TextBox 294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50" name="TextBox 294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51" name="TextBox 295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52" name="TextBox 295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53" name="TextBox 295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54" name="TextBox 295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55" name="TextBox 295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56" name="TextBox 295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57" name="TextBox 295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58" name="TextBox 295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59" name="TextBox 295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60" name="TextBox 295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61" name="TextBox 296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62" name="TextBox 296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63" name="TextBox 296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64" name="TextBox 296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65" name="TextBox 296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66" name="TextBox 296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67" name="TextBox 296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68" name="TextBox 296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69" name="TextBox 296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70" name="TextBox 296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71" name="TextBox 297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72" name="TextBox 297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73" name="TextBox 297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74" name="TextBox 297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75" name="TextBox 297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76" name="TextBox 297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77" name="TextBox 297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78" name="TextBox 2977">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79" name="TextBox 2978">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80" name="TextBox 2979">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81" name="TextBox 2980">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82" name="TextBox 2981">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83" name="TextBox 2982">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84" name="TextBox 2983">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85" name="TextBox 2984">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2986" name="TextBox 2985">
          <a:extLst>
            <a:ext uri="{FF2B5EF4-FFF2-40B4-BE49-F238E27FC236}">
              <a16:creationId xmlns:a16="http://schemas.microsoft.com/office/drawing/2014/main" id="{00000000-0008-0000-0000-000007000000}"/>
            </a:ext>
          </a:extLst>
        </xdr:cNvPr>
        <xdr:cNvSpPr txBox="1"/>
      </xdr:nvSpPr>
      <xdr:spPr>
        <a:xfrm>
          <a:off x="0" y="37604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2987" name="TextBox 2986">
          <a:extLst>
            <a:ext uri="{FF2B5EF4-FFF2-40B4-BE49-F238E27FC236}">
              <a16:creationId xmlns:a16="http://schemas.microsoft.com/office/drawing/2014/main" id="{00000000-0008-0000-0000-000007000000}"/>
            </a:ext>
          </a:extLst>
        </xdr:cNvPr>
        <xdr:cNvSpPr txBox="1"/>
      </xdr:nvSpPr>
      <xdr:spPr>
        <a:xfrm>
          <a:off x="0" y="37604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988" name="TextBox 2987">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2989" name="TextBox 2988">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990" name="TextBox 2989">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2991" name="TextBox 2990">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992" name="TextBox 2991">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2993" name="TextBox 2992">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994" name="TextBox 2993">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2995" name="TextBox 2994">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996" name="TextBox 2995">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2997" name="TextBox 2996">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98" name="TextBox 299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2999" name="TextBox 299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000" name="TextBox 2999">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001" name="TextBox 3000">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3002" name="TextBox 3001">
          <a:extLst>
            <a:ext uri="{FF2B5EF4-FFF2-40B4-BE49-F238E27FC236}">
              <a16:creationId xmlns:a16="http://schemas.microsoft.com/office/drawing/2014/main" id="{00000000-0008-0000-0000-000007000000}"/>
            </a:ext>
          </a:extLst>
        </xdr:cNvPr>
        <xdr:cNvSpPr txBox="1"/>
      </xdr:nvSpPr>
      <xdr:spPr>
        <a:xfrm>
          <a:off x="0" y="39174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3003" name="TextBox 3002">
          <a:extLst>
            <a:ext uri="{FF2B5EF4-FFF2-40B4-BE49-F238E27FC236}">
              <a16:creationId xmlns:a16="http://schemas.microsoft.com/office/drawing/2014/main" id="{00000000-0008-0000-0000-000007000000}"/>
            </a:ext>
          </a:extLst>
        </xdr:cNvPr>
        <xdr:cNvSpPr txBox="1"/>
      </xdr:nvSpPr>
      <xdr:spPr>
        <a:xfrm>
          <a:off x="0" y="39174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3004" name="TextBox 3003">
          <a:extLst>
            <a:ext uri="{FF2B5EF4-FFF2-40B4-BE49-F238E27FC236}">
              <a16:creationId xmlns:a16="http://schemas.microsoft.com/office/drawing/2014/main" id="{00000000-0008-0000-0000-000007000000}"/>
            </a:ext>
          </a:extLst>
        </xdr:cNvPr>
        <xdr:cNvSpPr txBox="1"/>
      </xdr:nvSpPr>
      <xdr:spPr>
        <a:xfrm>
          <a:off x="0" y="39357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3005" name="TextBox 3004">
          <a:extLst>
            <a:ext uri="{FF2B5EF4-FFF2-40B4-BE49-F238E27FC236}">
              <a16:creationId xmlns:a16="http://schemas.microsoft.com/office/drawing/2014/main" id="{00000000-0008-0000-0000-000007000000}"/>
            </a:ext>
          </a:extLst>
        </xdr:cNvPr>
        <xdr:cNvSpPr txBox="1"/>
      </xdr:nvSpPr>
      <xdr:spPr>
        <a:xfrm>
          <a:off x="0" y="39357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3006" name="TextBox 3005">
          <a:extLst>
            <a:ext uri="{FF2B5EF4-FFF2-40B4-BE49-F238E27FC236}">
              <a16:creationId xmlns:a16="http://schemas.microsoft.com/office/drawing/2014/main" id="{00000000-0008-0000-0000-000007000000}"/>
            </a:ext>
          </a:extLst>
        </xdr:cNvPr>
        <xdr:cNvSpPr txBox="1"/>
      </xdr:nvSpPr>
      <xdr:spPr>
        <a:xfrm>
          <a:off x="0" y="4045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3007" name="TextBox 3006">
          <a:extLst>
            <a:ext uri="{FF2B5EF4-FFF2-40B4-BE49-F238E27FC236}">
              <a16:creationId xmlns:a16="http://schemas.microsoft.com/office/drawing/2014/main" id="{00000000-0008-0000-0000-000007000000}"/>
            </a:ext>
          </a:extLst>
        </xdr:cNvPr>
        <xdr:cNvSpPr txBox="1"/>
      </xdr:nvSpPr>
      <xdr:spPr>
        <a:xfrm>
          <a:off x="0" y="40454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3008" name="TextBox 3007">
          <a:extLst>
            <a:ext uri="{FF2B5EF4-FFF2-40B4-BE49-F238E27FC236}">
              <a16:creationId xmlns:a16="http://schemas.microsoft.com/office/drawing/2014/main" id="{00000000-0008-0000-0000-000007000000}"/>
            </a:ext>
          </a:extLst>
        </xdr:cNvPr>
        <xdr:cNvSpPr txBox="1"/>
      </xdr:nvSpPr>
      <xdr:spPr>
        <a:xfrm>
          <a:off x="0" y="40637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3009" name="TextBox 3008">
          <a:extLst>
            <a:ext uri="{FF2B5EF4-FFF2-40B4-BE49-F238E27FC236}">
              <a16:creationId xmlns:a16="http://schemas.microsoft.com/office/drawing/2014/main" id="{00000000-0008-0000-0000-000007000000}"/>
            </a:ext>
          </a:extLst>
        </xdr:cNvPr>
        <xdr:cNvSpPr txBox="1"/>
      </xdr:nvSpPr>
      <xdr:spPr>
        <a:xfrm>
          <a:off x="0" y="40637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10" name="TextBox 3009">
          <a:extLst>
            <a:ext uri="{FF2B5EF4-FFF2-40B4-BE49-F238E27FC236}">
              <a16:creationId xmlns:a16="http://schemas.microsoft.com/office/drawing/2014/main" id="{00000000-0008-0000-0000-000007000000}"/>
            </a:ext>
          </a:extLst>
        </xdr:cNvPr>
        <xdr:cNvSpPr txBox="1"/>
      </xdr:nvSpPr>
      <xdr:spPr>
        <a:xfrm>
          <a:off x="0" y="40820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11" name="TextBox 3010">
          <a:extLst>
            <a:ext uri="{FF2B5EF4-FFF2-40B4-BE49-F238E27FC236}">
              <a16:creationId xmlns:a16="http://schemas.microsoft.com/office/drawing/2014/main" id="{00000000-0008-0000-0000-000007000000}"/>
            </a:ext>
          </a:extLst>
        </xdr:cNvPr>
        <xdr:cNvSpPr txBox="1"/>
      </xdr:nvSpPr>
      <xdr:spPr>
        <a:xfrm>
          <a:off x="0" y="40820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012" name="TextBox 3011">
          <a:extLst>
            <a:ext uri="{FF2B5EF4-FFF2-40B4-BE49-F238E27FC236}">
              <a16:creationId xmlns:a16="http://schemas.microsoft.com/office/drawing/2014/main" id="{00000000-0008-0000-0000-000007000000}"/>
            </a:ext>
          </a:extLst>
        </xdr:cNvPr>
        <xdr:cNvSpPr txBox="1"/>
      </xdr:nvSpPr>
      <xdr:spPr>
        <a:xfrm>
          <a:off x="0" y="41003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013" name="TextBox 3012">
          <a:extLst>
            <a:ext uri="{FF2B5EF4-FFF2-40B4-BE49-F238E27FC236}">
              <a16:creationId xmlns:a16="http://schemas.microsoft.com/office/drawing/2014/main" id="{00000000-0008-0000-0000-000007000000}"/>
            </a:ext>
          </a:extLst>
        </xdr:cNvPr>
        <xdr:cNvSpPr txBox="1"/>
      </xdr:nvSpPr>
      <xdr:spPr>
        <a:xfrm>
          <a:off x="0" y="41003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3014" name="TextBox 3013">
          <a:extLst>
            <a:ext uri="{FF2B5EF4-FFF2-40B4-BE49-F238E27FC236}">
              <a16:creationId xmlns:a16="http://schemas.microsoft.com/office/drawing/2014/main" id="{00000000-0008-0000-0000-000007000000}"/>
            </a:ext>
          </a:extLst>
        </xdr:cNvPr>
        <xdr:cNvSpPr txBox="1"/>
      </xdr:nvSpPr>
      <xdr:spPr>
        <a:xfrm>
          <a:off x="0" y="41186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3015" name="TextBox 3014">
          <a:extLst>
            <a:ext uri="{FF2B5EF4-FFF2-40B4-BE49-F238E27FC236}">
              <a16:creationId xmlns:a16="http://schemas.microsoft.com/office/drawing/2014/main" id="{00000000-0008-0000-0000-000007000000}"/>
            </a:ext>
          </a:extLst>
        </xdr:cNvPr>
        <xdr:cNvSpPr txBox="1"/>
      </xdr:nvSpPr>
      <xdr:spPr>
        <a:xfrm>
          <a:off x="0" y="41186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3016" name="TextBox 3015">
          <a:extLst>
            <a:ext uri="{FF2B5EF4-FFF2-40B4-BE49-F238E27FC236}">
              <a16:creationId xmlns:a16="http://schemas.microsoft.com/office/drawing/2014/main" id="{00000000-0008-0000-0000-000007000000}"/>
            </a:ext>
          </a:extLst>
        </xdr:cNvPr>
        <xdr:cNvSpPr txBox="1"/>
      </xdr:nvSpPr>
      <xdr:spPr>
        <a:xfrm>
          <a:off x="0" y="4228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3017" name="TextBox 3016">
          <a:extLst>
            <a:ext uri="{FF2B5EF4-FFF2-40B4-BE49-F238E27FC236}">
              <a16:creationId xmlns:a16="http://schemas.microsoft.com/office/drawing/2014/main" id="{00000000-0008-0000-0000-000007000000}"/>
            </a:ext>
          </a:extLst>
        </xdr:cNvPr>
        <xdr:cNvSpPr txBox="1"/>
      </xdr:nvSpPr>
      <xdr:spPr>
        <a:xfrm>
          <a:off x="0" y="4228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3018" name="TextBox 3017">
          <a:extLst>
            <a:ext uri="{FF2B5EF4-FFF2-40B4-BE49-F238E27FC236}">
              <a16:creationId xmlns:a16="http://schemas.microsoft.com/office/drawing/2014/main" id="{00000000-0008-0000-0000-000007000000}"/>
            </a:ext>
          </a:extLst>
        </xdr:cNvPr>
        <xdr:cNvSpPr txBox="1"/>
      </xdr:nvSpPr>
      <xdr:spPr>
        <a:xfrm>
          <a:off x="0" y="4246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3019" name="TextBox 3018">
          <a:extLst>
            <a:ext uri="{FF2B5EF4-FFF2-40B4-BE49-F238E27FC236}">
              <a16:creationId xmlns:a16="http://schemas.microsoft.com/office/drawing/2014/main" id="{00000000-0008-0000-0000-000007000000}"/>
            </a:ext>
          </a:extLst>
        </xdr:cNvPr>
        <xdr:cNvSpPr txBox="1"/>
      </xdr:nvSpPr>
      <xdr:spPr>
        <a:xfrm>
          <a:off x="0" y="4246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3020" name="TextBox 3019">
          <a:extLst>
            <a:ext uri="{FF2B5EF4-FFF2-40B4-BE49-F238E27FC236}">
              <a16:creationId xmlns:a16="http://schemas.microsoft.com/office/drawing/2014/main" id="{00000000-0008-0000-0000-000007000000}"/>
            </a:ext>
          </a:extLst>
        </xdr:cNvPr>
        <xdr:cNvSpPr txBox="1"/>
      </xdr:nvSpPr>
      <xdr:spPr>
        <a:xfrm>
          <a:off x="0" y="42649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3021" name="TextBox 3020">
          <a:extLst>
            <a:ext uri="{FF2B5EF4-FFF2-40B4-BE49-F238E27FC236}">
              <a16:creationId xmlns:a16="http://schemas.microsoft.com/office/drawing/2014/main" id="{00000000-0008-0000-0000-000007000000}"/>
            </a:ext>
          </a:extLst>
        </xdr:cNvPr>
        <xdr:cNvSpPr txBox="1"/>
      </xdr:nvSpPr>
      <xdr:spPr>
        <a:xfrm>
          <a:off x="0" y="42649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3022" name="TextBox 3021">
          <a:extLst>
            <a:ext uri="{FF2B5EF4-FFF2-40B4-BE49-F238E27FC236}">
              <a16:creationId xmlns:a16="http://schemas.microsoft.com/office/drawing/2014/main" id="{00000000-0008-0000-0000-000007000000}"/>
            </a:ext>
          </a:extLst>
        </xdr:cNvPr>
        <xdr:cNvSpPr txBox="1"/>
      </xdr:nvSpPr>
      <xdr:spPr>
        <a:xfrm>
          <a:off x="0" y="42832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3023" name="TextBox 3022">
          <a:extLst>
            <a:ext uri="{FF2B5EF4-FFF2-40B4-BE49-F238E27FC236}">
              <a16:creationId xmlns:a16="http://schemas.microsoft.com/office/drawing/2014/main" id="{00000000-0008-0000-0000-000007000000}"/>
            </a:ext>
          </a:extLst>
        </xdr:cNvPr>
        <xdr:cNvSpPr txBox="1"/>
      </xdr:nvSpPr>
      <xdr:spPr>
        <a:xfrm>
          <a:off x="0" y="42832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3024" name="TextBox 3023">
          <a:extLst>
            <a:ext uri="{FF2B5EF4-FFF2-40B4-BE49-F238E27FC236}">
              <a16:creationId xmlns:a16="http://schemas.microsoft.com/office/drawing/2014/main" id="{00000000-0008-0000-0000-000007000000}"/>
            </a:ext>
          </a:extLst>
        </xdr:cNvPr>
        <xdr:cNvSpPr txBox="1"/>
      </xdr:nvSpPr>
      <xdr:spPr>
        <a:xfrm>
          <a:off x="0" y="43014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3025" name="TextBox 3024">
          <a:extLst>
            <a:ext uri="{FF2B5EF4-FFF2-40B4-BE49-F238E27FC236}">
              <a16:creationId xmlns:a16="http://schemas.microsoft.com/office/drawing/2014/main" id="{00000000-0008-0000-0000-000007000000}"/>
            </a:ext>
          </a:extLst>
        </xdr:cNvPr>
        <xdr:cNvSpPr txBox="1"/>
      </xdr:nvSpPr>
      <xdr:spPr>
        <a:xfrm>
          <a:off x="0" y="43014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26" name="TextBox 3025">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27" name="TextBox 3026">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28" name="TextBox 3027">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29" name="TextBox 3028">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30" name="TextBox 3029">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31" name="TextBox 3030">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32" name="TextBox 3031">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33" name="TextBox 3032">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34" name="TextBox 3033">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35" name="TextBox 3034">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36" name="TextBox 3035">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37" name="TextBox 3036">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38" name="TextBox 3037">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39" name="TextBox 3038">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40" name="TextBox 3039">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41" name="TextBox 3040">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42" name="TextBox 3041">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43" name="TextBox 3042">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44" name="TextBox 3043">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045" name="TextBox 3044">
          <a:extLst>
            <a:ext uri="{FF2B5EF4-FFF2-40B4-BE49-F238E27FC236}">
              <a16:creationId xmlns:a16="http://schemas.microsoft.com/office/drawing/2014/main" id="{00000000-0008-0000-0000-000007000000}"/>
            </a:ext>
          </a:extLst>
        </xdr:cNvPr>
        <xdr:cNvSpPr txBox="1"/>
      </xdr:nvSpPr>
      <xdr:spPr>
        <a:xfrm>
          <a:off x="0" y="4374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46" name="TextBox 3045">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47" name="TextBox 3046">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048" name="TextBox 3047">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049" name="TextBox 3048">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050" name="TextBox 3049">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051" name="TextBox 3050">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052" name="TextBox 3051">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053" name="TextBox 3052">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054" name="TextBox 3053">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055" name="TextBox 3054">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56" name="TextBox 3055">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57" name="TextBox 3056">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58" name="TextBox 3057">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59" name="TextBox 3058">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060" name="TextBox 3059">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061" name="TextBox 3060">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062" name="TextBox 3061">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063" name="TextBox 3062">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064" name="TextBox 3063">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065" name="TextBox 3064">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066" name="TextBox 3065">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067" name="TextBox 3066">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068" name="TextBox 3067">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069" name="TextBox 3068">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070" name="TextBox 3069">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071" name="TextBox 3070">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72" name="TextBox 3071">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73" name="TextBox 3072">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74" name="TextBox 3073">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75" name="TextBox 3074">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76" name="TextBox 3075">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77" name="TextBox 3076">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78" name="TextBox 3077">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79" name="TextBox 3078">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80" name="TextBox 3079">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81" name="TextBox 3080">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82" name="TextBox 3081">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83" name="TextBox 3082">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84" name="TextBox 3083">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85" name="TextBox 3084">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86" name="TextBox 3085">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87" name="TextBox 3086">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88" name="TextBox 3087">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89" name="TextBox 3088">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90" name="TextBox 3089">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91" name="TextBox 3090">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92" name="TextBox 3091">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93" name="TextBox 3092">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94" name="TextBox 3093">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095" name="TextBox 3094">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096" name="TextBox 3095">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097" name="TextBox 3096">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098" name="TextBox 3097">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099" name="TextBox 3098">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00" name="TextBox 3099">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01" name="TextBox 3100">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02" name="TextBox 3101">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03" name="TextBox 3102">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04" name="TextBox 3103">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05" name="TextBox 3104">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06" name="TextBox 3105">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07" name="TextBox 3106">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08" name="TextBox 3107">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09" name="TextBox 3108">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10" name="TextBox 3109">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111" name="TextBox 3110">
          <a:extLst>
            <a:ext uri="{FF2B5EF4-FFF2-40B4-BE49-F238E27FC236}">
              <a16:creationId xmlns:a16="http://schemas.microsoft.com/office/drawing/2014/main" id="{00000000-0008-0000-0000-000007000000}"/>
            </a:ext>
          </a:extLst>
        </xdr:cNvPr>
        <xdr:cNvSpPr txBox="1"/>
      </xdr:nvSpPr>
      <xdr:spPr>
        <a:xfrm>
          <a:off x="0" y="38000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12" name="TextBox 3111">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13" name="TextBox 3112">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14" name="TextBox 3113">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15" name="TextBox 3114">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16" name="TextBox 3115">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17" name="TextBox 3116">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18" name="TextBox 3117">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19" name="TextBox 3118">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20" name="TextBox 3119">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21" name="TextBox 3120">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22" name="TextBox 3121">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23" name="TextBox 3122">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24" name="TextBox 3123">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25" name="TextBox 3124">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26" name="TextBox 3125">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27" name="TextBox 3126">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28" name="TextBox 3127">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29" name="TextBox 3128">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30" name="TextBox 3129">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31" name="TextBox 3130">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32" name="TextBox 3131">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33" name="TextBox 3132">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34" name="TextBox 3133">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35" name="TextBox 3134">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36" name="TextBox 3135">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37" name="TextBox 3136">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38" name="TextBox 3137">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39" name="TextBox 3138">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40" name="TextBox 3139">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41" name="TextBox 3140">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42" name="TextBox 3141">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43" name="TextBox 3142">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44" name="TextBox 3143">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45" name="TextBox 3144">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46" name="TextBox 3145">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47" name="TextBox 3146">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48" name="TextBox 3147">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49" name="TextBox 3148">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50" name="TextBox 3149">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51" name="TextBox 3150">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52" name="TextBox 3151">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53" name="TextBox 3152">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54" name="TextBox 3153">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155" name="TextBox 3154">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56" name="TextBox 3155">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57" name="TextBox 3156">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58" name="TextBox 3157">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59" name="TextBox 3158">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60" name="TextBox 3159">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61" name="TextBox 3160">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62" name="TextBox 3161">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63" name="TextBox 3162">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64" name="TextBox 3163">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65" name="TextBox 3164">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66" name="TextBox 3165">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67" name="TextBox 3166">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68" name="TextBox 3167">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69" name="TextBox 3168">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70" name="TextBox 3169">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71" name="TextBox 3170">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72" name="TextBox 3171">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73" name="TextBox 3172">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74" name="TextBox 3173">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75" name="TextBox 3174">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76" name="TextBox 3175">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77" name="TextBox 3176">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78" name="TextBox 3177">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79" name="TextBox 3178">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80" name="TextBox 3179">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81" name="TextBox 3180">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82" name="TextBox 3181">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83" name="TextBox 3182">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84" name="TextBox 3183">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85" name="TextBox 3184">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86" name="TextBox 3185">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87" name="TextBox 3186">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88" name="TextBox 3187">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89" name="TextBox 3188">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90" name="TextBox 3189">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91" name="TextBox 3190">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92" name="TextBox 3191">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93" name="TextBox 3192">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94" name="TextBox 3193">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95" name="TextBox 3194">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96" name="TextBox 3195">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97" name="TextBox 3196">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98" name="TextBox 3197">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199" name="TextBox 3198">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00" name="TextBox 3199">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01" name="TextBox 3200">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02" name="TextBox 3201">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03" name="TextBox 3202">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04" name="TextBox 3203">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05" name="TextBox 3204">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06" name="TextBox 3205">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07" name="TextBox 3206">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08" name="TextBox 3207">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09" name="TextBox 3208">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10" name="TextBox 3209">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211" name="TextBox 3210">
          <a:extLst>
            <a:ext uri="{FF2B5EF4-FFF2-40B4-BE49-F238E27FC236}">
              <a16:creationId xmlns:a16="http://schemas.microsoft.com/office/drawing/2014/main" id="{00000000-0008-0000-0000-000007000000}"/>
            </a:ext>
          </a:extLst>
        </xdr:cNvPr>
        <xdr:cNvSpPr txBox="1"/>
      </xdr:nvSpPr>
      <xdr:spPr>
        <a:xfrm>
          <a:off x="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12" name="TextBox 3211">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13" name="TextBox 3212">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14" name="TextBox 3213">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15" name="TextBox 3214">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16" name="TextBox 3215">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17" name="TextBox 3216">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18" name="TextBox 3217">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19" name="TextBox 3218">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20" name="TextBox 3219">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21" name="TextBox 3220">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22" name="TextBox 3221">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23" name="TextBox 3222">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24" name="TextBox 3223">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25" name="TextBox 3224">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26" name="TextBox 3225">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27" name="TextBox 3226">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28" name="TextBox 3227">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29" name="TextBox 3228">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30" name="TextBox 3229">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31" name="TextBox 3230">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32" name="TextBox 3231">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33" name="TextBox 3232">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34" name="TextBox 3233">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35" name="TextBox 3234">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36" name="TextBox 3235">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37" name="TextBox 3236">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38" name="TextBox 3237">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39" name="TextBox 3238">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40" name="TextBox 3239">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41" name="TextBox 3240">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42" name="TextBox 3241">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43" name="TextBox 3242">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44" name="TextBox 3243">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45" name="TextBox 3244">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46" name="TextBox 3245">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47" name="TextBox 3246">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48" name="TextBox 3247">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49" name="TextBox 3248">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50" name="TextBox 3249">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51" name="TextBox 3250">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52" name="TextBox 3251">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53" name="TextBox 3252">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54" name="TextBox 3253">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55" name="TextBox 3254">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56" name="TextBox 3255">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57" name="TextBox 3256">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58" name="TextBox 3257">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59" name="TextBox 3258">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60" name="TextBox 3259">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61" name="TextBox 3260">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62" name="TextBox 3261">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63" name="TextBox 3262">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64" name="TextBox 3263">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65" name="TextBox 3264">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66" name="TextBox 3265">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67" name="TextBox 3266">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68" name="TextBox 3267">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69" name="TextBox 3268">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70" name="TextBox 3269">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71" name="TextBox 3270">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72" name="TextBox 3271">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273" name="TextBox 3272">
          <a:extLst>
            <a:ext uri="{FF2B5EF4-FFF2-40B4-BE49-F238E27FC236}">
              <a16:creationId xmlns:a16="http://schemas.microsoft.com/office/drawing/2014/main" id="{00000000-0008-0000-0000-000007000000}"/>
            </a:ext>
          </a:extLst>
        </xdr:cNvPr>
        <xdr:cNvSpPr txBox="1"/>
      </xdr:nvSpPr>
      <xdr:spPr>
        <a:xfrm>
          <a:off x="0" y="3859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74" name="TextBox 327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75" name="TextBox 327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76" name="TextBox 327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77" name="TextBox 327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78" name="TextBox 327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79" name="TextBox 327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80" name="TextBox 327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81" name="TextBox 328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82" name="TextBox 328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83" name="TextBox 328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84" name="TextBox 328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85" name="TextBox 328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86" name="TextBox 328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87" name="TextBox 328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88" name="TextBox 328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89" name="TextBox 328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90" name="TextBox 328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91" name="TextBox 329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92" name="TextBox 329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93" name="TextBox 329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94" name="TextBox 329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95" name="TextBox 329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96" name="TextBox 329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97" name="TextBox 329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98" name="TextBox 329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299" name="TextBox 329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00" name="TextBox 329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01" name="TextBox 330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02" name="TextBox 330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03" name="TextBox 330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04" name="TextBox 330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05" name="TextBox 330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06" name="TextBox 330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07" name="TextBox 330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08" name="TextBox 330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09" name="TextBox 330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10" name="TextBox 330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11" name="TextBox 331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12" name="TextBox 331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13" name="TextBox 331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14" name="TextBox 331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15" name="TextBox 331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16" name="TextBox 331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17" name="TextBox 331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18" name="TextBox 331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19" name="TextBox 331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20" name="TextBox 331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21" name="TextBox 332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22" name="TextBox 332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23" name="TextBox 332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24" name="TextBox 332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25" name="TextBox 332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26" name="TextBox 332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27" name="TextBox 332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28" name="TextBox 332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29" name="TextBox 332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30" name="TextBox 332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31" name="TextBox 333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32" name="TextBox 333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33" name="TextBox 333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34" name="TextBox 333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35" name="TextBox 333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36" name="TextBox 333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337" name="TextBox 333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38" name="TextBox 3337">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39" name="TextBox 3338">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40" name="TextBox 3339">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41" name="TextBox 3340">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42" name="TextBox 3341">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43" name="TextBox 3342">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44" name="TextBox 3343">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45" name="TextBox 3344">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46" name="TextBox 3345">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47" name="TextBox 3346">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48" name="TextBox 3347">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49" name="TextBox 3348">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50" name="TextBox 3349">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51" name="TextBox 3350">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52" name="TextBox 3351">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53" name="TextBox 3352">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54" name="TextBox 3353">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55" name="TextBox 3354">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56" name="TextBox 3355">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57" name="TextBox 3356">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58" name="TextBox 3357">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59" name="TextBox 3358">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60" name="TextBox 3359">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61" name="TextBox 3360">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62" name="TextBox 3361">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63" name="TextBox 3362">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64" name="TextBox 3363">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65" name="TextBox 3364">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66" name="TextBox 3365">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67" name="TextBox 3366">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68" name="TextBox 3367">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69" name="TextBox 3368">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70" name="TextBox 3369">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71" name="TextBox 3370">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72" name="TextBox 3371">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73" name="TextBox 3372">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74" name="TextBox 3373">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75" name="TextBox 3374">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76" name="TextBox 3375">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77" name="TextBox 3376">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78" name="TextBox 3377">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79" name="TextBox 3378">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80" name="TextBox 3379">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81" name="TextBox 3380">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82" name="TextBox 3381">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83" name="TextBox 3382">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84" name="TextBox 3383">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85" name="TextBox 3384">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86" name="TextBox 3385">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87" name="TextBox 3386">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88" name="TextBox 3387">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89" name="TextBox 3388">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90" name="TextBox 3389">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91" name="TextBox 3390">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92" name="TextBox 3391">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93" name="TextBox 3392">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94" name="TextBox 3393">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95" name="TextBox 3394">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96" name="TextBox 3395">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97" name="TextBox 3396">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98" name="TextBox 3397">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399" name="TextBox 3398">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400" name="TextBox 3399">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401" name="TextBox 3400">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402" name="TextBox 3401">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403" name="TextBox 3402">
          <a:extLst>
            <a:ext uri="{FF2B5EF4-FFF2-40B4-BE49-F238E27FC236}">
              <a16:creationId xmlns:a16="http://schemas.microsoft.com/office/drawing/2014/main" id="{00000000-0008-0000-0000-000007000000}"/>
            </a:ext>
          </a:extLst>
        </xdr:cNvPr>
        <xdr:cNvSpPr txBox="1"/>
      </xdr:nvSpPr>
      <xdr:spPr>
        <a:xfrm>
          <a:off x="0" y="38991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404" name="TextBox 3403">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405" name="TextBox 3404">
          <a:extLst>
            <a:ext uri="{FF2B5EF4-FFF2-40B4-BE49-F238E27FC236}">
              <a16:creationId xmlns:a16="http://schemas.microsoft.com/office/drawing/2014/main" id="{00000000-0008-0000-0000-000007000000}"/>
            </a:ext>
          </a:extLst>
        </xdr:cNvPr>
        <xdr:cNvSpPr txBox="1"/>
      </xdr:nvSpPr>
      <xdr:spPr>
        <a:xfrm>
          <a:off x="0" y="3780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406" name="TextBox 3405">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407" name="TextBox 3406">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408" name="TextBox 3407">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409" name="TextBox 3408">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410" name="TextBox 3409">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411" name="TextBox 3410">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412" name="TextBox 3411">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413" name="TextBox 3412">
          <a:extLst>
            <a:ext uri="{FF2B5EF4-FFF2-40B4-BE49-F238E27FC236}">
              <a16:creationId xmlns:a16="http://schemas.microsoft.com/office/drawing/2014/main" id="{00000000-0008-0000-0000-000007000000}"/>
            </a:ext>
          </a:extLst>
        </xdr:cNvPr>
        <xdr:cNvSpPr txBox="1"/>
      </xdr:nvSpPr>
      <xdr:spPr>
        <a:xfrm>
          <a:off x="0" y="38199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14" name="TextBox 341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15" name="TextBox 341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16" name="TextBox 341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17" name="TextBox 341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18" name="TextBox 341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19" name="TextBox 341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20" name="TextBox 341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21" name="TextBox 342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22" name="TextBox 342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23" name="TextBox 342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24" name="TextBox 342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25" name="TextBox 342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26" name="TextBox 342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27" name="TextBox 342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28" name="TextBox 342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29" name="TextBox 342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30" name="TextBox 342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31" name="TextBox 343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32" name="TextBox 343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33" name="TextBox 343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34" name="TextBox 343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35" name="TextBox 343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36" name="TextBox 343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37" name="TextBox 343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38" name="TextBox 343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39" name="TextBox 343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40" name="TextBox 343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41" name="TextBox 344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42" name="TextBox 344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43" name="TextBox 344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44" name="TextBox 344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45" name="TextBox 344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46" name="TextBox 344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47" name="TextBox 344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48" name="TextBox 344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49" name="TextBox 344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50" name="TextBox 344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51" name="TextBox 345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52" name="TextBox 345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53" name="TextBox 345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54" name="TextBox 345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55" name="TextBox 345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56" name="TextBox 345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57" name="TextBox 345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58" name="TextBox 345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59" name="TextBox 345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60" name="TextBox 345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61" name="TextBox 346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62" name="TextBox 346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63" name="TextBox 346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64" name="TextBox 346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65" name="TextBox 346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66" name="TextBox 346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67" name="TextBox 346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68" name="TextBox 3467">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69" name="TextBox 3468">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70" name="TextBox 3469">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71" name="TextBox 3470">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72" name="TextBox 3471">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73" name="TextBox 3472">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74" name="TextBox 3473">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75" name="TextBox 3474">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76" name="TextBox 3475">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477" name="TextBox 3476">
          <a:extLst>
            <a:ext uri="{FF2B5EF4-FFF2-40B4-BE49-F238E27FC236}">
              <a16:creationId xmlns:a16="http://schemas.microsoft.com/office/drawing/2014/main" id="{00000000-0008-0000-0000-000007000000}"/>
            </a:ext>
          </a:extLst>
        </xdr:cNvPr>
        <xdr:cNvSpPr txBox="1"/>
      </xdr:nvSpPr>
      <xdr:spPr>
        <a:xfrm>
          <a:off x="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3982" name="TextBox 3981">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3986" name="TextBox 3985">
          <a:extLst>
            <a:ext uri="{FF2B5EF4-FFF2-40B4-BE49-F238E27FC236}">
              <a16:creationId xmlns:a16="http://schemas.microsoft.com/office/drawing/2014/main" id="{00000000-0008-0000-0000-000007000000}"/>
            </a:ext>
          </a:extLst>
        </xdr:cNvPr>
        <xdr:cNvSpPr txBox="1"/>
      </xdr:nvSpPr>
      <xdr:spPr>
        <a:xfrm>
          <a:off x="8267700" y="3425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87" name="TextBox 3986">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88" name="TextBox 3987">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89" name="TextBox 3988">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90" name="TextBox 3989">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91" name="TextBox 3990">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92" name="TextBox 3991">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993" name="TextBox 3992">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994" name="TextBox 3993">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995" name="TextBox 3994">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996" name="TextBox 3995">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997" name="TextBox 399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998" name="TextBox 399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999" name="TextBox 3998">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000" name="TextBox 3999">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4001" name="TextBox 4000">
          <a:extLst>
            <a:ext uri="{FF2B5EF4-FFF2-40B4-BE49-F238E27FC236}">
              <a16:creationId xmlns:a16="http://schemas.microsoft.com/office/drawing/2014/main" id="{00000000-0008-0000-0000-000007000000}"/>
            </a:ext>
          </a:extLst>
        </xdr:cNvPr>
        <xdr:cNvSpPr txBox="1"/>
      </xdr:nvSpPr>
      <xdr:spPr>
        <a:xfrm>
          <a:off x="8267700" y="35821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4002" name="TextBox 4001">
          <a:extLst>
            <a:ext uri="{FF2B5EF4-FFF2-40B4-BE49-F238E27FC236}">
              <a16:creationId xmlns:a16="http://schemas.microsoft.com/office/drawing/2014/main" id="{00000000-0008-0000-0000-000007000000}"/>
            </a:ext>
          </a:extLst>
        </xdr:cNvPr>
        <xdr:cNvSpPr txBox="1"/>
      </xdr:nvSpPr>
      <xdr:spPr>
        <a:xfrm>
          <a:off x="8267700" y="35821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4003" name="TextBox 4002">
          <a:extLst>
            <a:ext uri="{FF2B5EF4-FFF2-40B4-BE49-F238E27FC236}">
              <a16:creationId xmlns:a16="http://schemas.microsoft.com/office/drawing/2014/main" id="{00000000-0008-0000-0000-000007000000}"/>
            </a:ext>
          </a:extLst>
        </xdr:cNvPr>
        <xdr:cNvSpPr txBox="1"/>
      </xdr:nvSpPr>
      <xdr:spPr>
        <a:xfrm>
          <a:off x="8267700" y="3600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4004" name="TextBox 4003">
          <a:extLst>
            <a:ext uri="{FF2B5EF4-FFF2-40B4-BE49-F238E27FC236}">
              <a16:creationId xmlns:a16="http://schemas.microsoft.com/office/drawing/2014/main" id="{00000000-0008-0000-0000-000007000000}"/>
            </a:ext>
          </a:extLst>
        </xdr:cNvPr>
        <xdr:cNvSpPr txBox="1"/>
      </xdr:nvSpPr>
      <xdr:spPr>
        <a:xfrm>
          <a:off x="8267700" y="3600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4005" name="TextBox 4004">
          <a:extLst>
            <a:ext uri="{FF2B5EF4-FFF2-40B4-BE49-F238E27FC236}">
              <a16:creationId xmlns:a16="http://schemas.microsoft.com/office/drawing/2014/main" id="{00000000-0008-0000-0000-000007000000}"/>
            </a:ext>
          </a:extLst>
        </xdr:cNvPr>
        <xdr:cNvSpPr txBox="1"/>
      </xdr:nvSpPr>
      <xdr:spPr>
        <a:xfrm>
          <a:off x="8267700" y="3710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4006" name="TextBox 4005">
          <a:extLst>
            <a:ext uri="{FF2B5EF4-FFF2-40B4-BE49-F238E27FC236}">
              <a16:creationId xmlns:a16="http://schemas.microsoft.com/office/drawing/2014/main" id="{00000000-0008-0000-0000-000007000000}"/>
            </a:ext>
          </a:extLst>
        </xdr:cNvPr>
        <xdr:cNvSpPr txBox="1"/>
      </xdr:nvSpPr>
      <xdr:spPr>
        <a:xfrm>
          <a:off x="8267700" y="3710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4007" name="TextBox 4006">
          <a:extLst>
            <a:ext uri="{FF2B5EF4-FFF2-40B4-BE49-F238E27FC236}">
              <a16:creationId xmlns:a16="http://schemas.microsoft.com/office/drawing/2014/main" id="{00000000-0008-0000-0000-000007000000}"/>
            </a:ext>
          </a:extLst>
        </xdr:cNvPr>
        <xdr:cNvSpPr txBox="1"/>
      </xdr:nvSpPr>
      <xdr:spPr>
        <a:xfrm>
          <a:off x="8267700" y="3728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4008" name="TextBox 4007">
          <a:extLst>
            <a:ext uri="{FF2B5EF4-FFF2-40B4-BE49-F238E27FC236}">
              <a16:creationId xmlns:a16="http://schemas.microsoft.com/office/drawing/2014/main" id="{00000000-0008-0000-0000-000007000000}"/>
            </a:ext>
          </a:extLst>
        </xdr:cNvPr>
        <xdr:cNvSpPr txBox="1"/>
      </xdr:nvSpPr>
      <xdr:spPr>
        <a:xfrm>
          <a:off x="8267700" y="37284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009" name="TextBox 4008">
          <a:extLst>
            <a:ext uri="{FF2B5EF4-FFF2-40B4-BE49-F238E27FC236}">
              <a16:creationId xmlns:a16="http://schemas.microsoft.com/office/drawing/2014/main" id="{00000000-0008-0000-0000-000007000000}"/>
            </a:ext>
          </a:extLst>
        </xdr:cNvPr>
        <xdr:cNvSpPr txBox="1"/>
      </xdr:nvSpPr>
      <xdr:spPr>
        <a:xfrm>
          <a:off x="8267700" y="3746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010" name="TextBox 4009">
          <a:extLst>
            <a:ext uri="{FF2B5EF4-FFF2-40B4-BE49-F238E27FC236}">
              <a16:creationId xmlns:a16="http://schemas.microsoft.com/office/drawing/2014/main" id="{00000000-0008-0000-0000-000007000000}"/>
            </a:ext>
          </a:extLst>
        </xdr:cNvPr>
        <xdr:cNvSpPr txBox="1"/>
      </xdr:nvSpPr>
      <xdr:spPr>
        <a:xfrm>
          <a:off x="8267700" y="37467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11" name="TextBox 4010">
          <a:extLst>
            <a:ext uri="{FF2B5EF4-FFF2-40B4-BE49-F238E27FC236}">
              <a16:creationId xmlns:a16="http://schemas.microsoft.com/office/drawing/2014/main" id="{00000000-0008-0000-0000-000007000000}"/>
            </a:ext>
          </a:extLst>
        </xdr:cNvPr>
        <xdr:cNvSpPr txBox="1"/>
      </xdr:nvSpPr>
      <xdr:spPr>
        <a:xfrm>
          <a:off x="8267700" y="3765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12" name="TextBox 4011">
          <a:extLst>
            <a:ext uri="{FF2B5EF4-FFF2-40B4-BE49-F238E27FC236}">
              <a16:creationId xmlns:a16="http://schemas.microsoft.com/office/drawing/2014/main" id="{00000000-0008-0000-0000-000007000000}"/>
            </a:ext>
          </a:extLst>
        </xdr:cNvPr>
        <xdr:cNvSpPr txBox="1"/>
      </xdr:nvSpPr>
      <xdr:spPr>
        <a:xfrm>
          <a:off x="8267700" y="37650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4013" name="TextBox 4012">
          <a:extLst>
            <a:ext uri="{FF2B5EF4-FFF2-40B4-BE49-F238E27FC236}">
              <a16:creationId xmlns:a16="http://schemas.microsoft.com/office/drawing/2014/main" id="{00000000-0008-0000-0000-000007000000}"/>
            </a:ext>
          </a:extLst>
        </xdr:cNvPr>
        <xdr:cNvSpPr txBox="1"/>
      </xdr:nvSpPr>
      <xdr:spPr>
        <a:xfrm>
          <a:off x="8267700" y="3783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4014" name="TextBox 4013">
          <a:extLst>
            <a:ext uri="{FF2B5EF4-FFF2-40B4-BE49-F238E27FC236}">
              <a16:creationId xmlns:a16="http://schemas.microsoft.com/office/drawing/2014/main" id="{00000000-0008-0000-0000-000007000000}"/>
            </a:ext>
          </a:extLst>
        </xdr:cNvPr>
        <xdr:cNvSpPr txBox="1"/>
      </xdr:nvSpPr>
      <xdr:spPr>
        <a:xfrm>
          <a:off x="8267700" y="3783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4015" name="TextBox 4014">
          <a:extLst>
            <a:ext uri="{FF2B5EF4-FFF2-40B4-BE49-F238E27FC236}">
              <a16:creationId xmlns:a16="http://schemas.microsoft.com/office/drawing/2014/main" id="{00000000-0008-0000-0000-000007000000}"/>
            </a:ext>
          </a:extLst>
        </xdr:cNvPr>
        <xdr:cNvSpPr txBox="1"/>
      </xdr:nvSpPr>
      <xdr:spPr>
        <a:xfrm>
          <a:off x="8267700" y="38930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4016" name="TextBox 4015">
          <a:extLst>
            <a:ext uri="{FF2B5EF4-FFF2-40B4-BE49-F238E27FC236}">
              <a16:creationId xmlns:a16="http://schemas.microsoft.com/office/drawing/2014/main" id="{00000000-0008-0000-0000-000007000000}"/>
            </a:ext>
          </a:extLst>
        </xdr:cNvPr>
        <xdr:cNvSpPr txBox="1"/>
      </xdr:nvSpPr>
      <xdr:spPr>
        <a:xfrm>
          <a:off x="8267700" y="38930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4017" name="TextBox 4016">
          <a:extLst>
            <a:ext uri="{FF2B5EF4-FFF2-40B4-BE49-F238E27FC236}">
              <a16:creationId xmlns:a16="http://schemas.microsoft.com/office/drawing/2014/main" id="{00000000-0008-0000-0000-000007000000}"/>
            </a:ext>
          </a:extLst>
        </xdr:cNvPr>
        <xdr:cNvSpPr txBox="1"/>
      </xdr:nvSpPr>
      <xdr:spPr>
        <a:xfrm>
          <a:off x="8267700" y="39113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4018" name="TextBox 4017">
          <a:extLst>
            <a:ext uri="{FF2B5EF4-FFF2-40B4-BE49-F238E27FC236}">
              <a16:creationId xmlns:a16="http://schemas.microsoft.com/office/drawing/2014/main" id="{00000000-0008-0000-0000-000007000000}"/>
            </a:ext>
          </a:extLst>
        </xdr:cNvPr>
        <xdr:cNvSpPr txBox="1"/>
      </xdr:nvSpPr>
      <xdr:spPr>
        <a:xfrm>
          <a:off x="8267700" y="39113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4019" name="TextBox 4018">
          <a:extLst>
            <a:ext uri="{FF2B5EF4-FFF2-40B4-BE49-F238E27FC236}">
              <a16:creationId xmlns:a16="http://schemas.microsoft.com/office/drawing/2014/main" id="{00000000-0008-0000-0000-000007000000}"/>
            </a:ext>
          </a:extLst>
        </xdr:cNvPr>
        <xdr:cNvSpPr txBox="1"/>
      </xdr:nvSpPr>
      <xdr:spPr>
        <a:xfrm>
          <a:off x="8267700" y="39296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4020" name="TextBox 4019">
          <a:extLst>
            <a:ext uri="{FF2B5EF4-FFF2-40B4-BE49-F238E27FC236}">
              <a16:creationId xmlns:a16="http://schemas.microsoft.com/office/drawing/2014/main" id="{00000000-0008-0000-0000-000007000000}"/>
            </a:ext>
          </a:extLst>
        </xdr:cNvPr>
        <xdr:cNvSpPr txBox="1"/>
      </xdr:nvSpPr>
      <xdr:spPr>
        <a:xfrm>
          <a:off x="8267700" y="39296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4021" name="TextBox 4020">
          <a:extLst>
            <a:ext uri="{FF2B5EF4-FFF2-40B4-BE49-F238E27FC236}">
              <a16:creationId xmlns:a16="http://schemas.microsoft.com/office/drawing/2014/main" id="{00000000-0008-0000-0000-000007000000}"/>
            </a:ext>
          </a:extLst>
        </xdr:cNvPr>
        <xdr:cNvSpPr txBox="1"/>
      </xdr:nvSpPr>
      <xdr:spPr>
        <a:xfrm>
          <a:off x="8267700" y="39479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4022" name="TextBox 4021">
          <a:extLst>
            <a:ext uri="{FF2B5EF4-FFF2-40B4-BE49-F238E27FC236}">
              <a16:creationId xmlns:a16="http://schemas.microsoft.com/office/drawing/2014/main" id="{00000000-0008-0000-0000-000007000000}"/>
            </a:ext>
          </a:extLst>
        </xdr:cNvPr>
        <xdr:cNvSpPr txBox="1"/>
      </xdr:nvSpPr>
      <xdr:spPr>
        <a:xfrm>
          <a:off x="8267700" y="39479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4023" name="TextBox 4022">
          <a:extLst>
            <a:ext uri="{FF2B5EF4-FFF2-40B4-BE49-F238E27FC236}">
              <a16:creationId xmlns:a16="http://schemas.microsoft.com/office/drawing/2014/main" id="{00000000-0008-0000-0000-000007000000}"/>
            </a:ext>
          </a:extLst>
        </xdr:cNvPr>
        <xdr:cNvSpPr txBox="1"/>
      </xdr:nvSpPr>
      <xdr:spPr>
        <a:xfrm>
          <a:off x="8267700" y="39662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4024" name="TextBox 4023">
          <a:extLst>
            <a:ext uri="{FF2B5EF4-FFF2-40B4-BE49-F238E27FC236}">
              <a16:creationId xmlns:a16="http://schemas.microsoft.com/office/drawing/2014/main" id="{00000000-0008-0000-0000-000007000000}"/>
            </a:ext>
          </a:extLst>
        </xdr:cNvPr>
        <xdr:cNvSpPr txBox="1"/>
      </xdr:nvSpPr>
      <xdr:spPr>
        <a:xfrm>
          <a:off x="8267700" y="39662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25" name="TextBox 4024">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26" name="TextBox 4025">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27" name="TextBox 4026">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28" name="TextBox 4027">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29" name="TextBox 4028">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30" name="TextBox 4029">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31" name="TextBox 4030">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32" name="TextBox 4031">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33" name="TextBox 4032">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34" name="TextBox 4033">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35" name="TextBox 4034">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36" name="TextBox 4035">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37" name="TextBox 4036">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38" name="TextBox 4037">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39" name="TextBox 4038">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40" name="TextBox 4039">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41" name="TextBox 4040">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42" name="TextBox 4041">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43" name="TextBox 4042">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044" name="TextBox 4043">
          <a:extLst>
            <a:ext uri="{FF2B5EF4-FFF2-40B4-BE49-F238E27FC236}">
              <a16:creationId xmlns:a16="http://schemas.microsoft.com/office/drawing/2014/main" id="{00000000-0008-0000-0000-000007000000}"/>
            </a:ext>
          </a:extLst>
        </xdr:cNvPr>
        <xdr:cNvSpPr txBox="1"/>
      </xdr:nvSpPr>
      <xdr:spPr>
        <a:xfrm>
          <a:off x="8267700" y="4039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45" name="TextBox 4044">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46" name="TextBox 4045">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047" name="TextBox 4046">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048" name="TextBox 4047">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049" name="TextBox 4048">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050" name="TextBox 4049">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051" name="TextBox 4050">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052" name="TextBox 4051">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053" name="TextBox 4052">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054" name="TextBox 4053">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55" name="TextBox 4054">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56" name="TextBox 4055">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57" name="TextBox 4056">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58" name="TextBox 4057">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059" name="TextBox 4058">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060" name="TextBox 4059">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061" name="TextBox 4060">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062" name="TextBox 4061">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063" name="TextBox 4062">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064" name="TextBox 4063">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065" name="TextBox 4064">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066" name="TextBox 4065">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067" name="TextBox 4066">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068" name="TextBox 4067">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069" name="TextBox 4068">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070" name="TextBox 4069">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71" name="TextBox 4070">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72" name="TextBox 4071">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73" name="TextBox 4072">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74" name="TextBox 4073">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75" name="TextBox 4074">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76" name="TextBox 4075">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77" name="TextBox 4076">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78" name="TextBox 4077">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79" name="TextBox 4078">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80" name="TextBox 4079">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81" name="TextBox 4080">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82" name="TextBox 4081">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83" name="TextBox 4082">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84" name="TextBox 4083">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85" name="TextBox 4084">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86" name="TextBox 4085">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87" name="TextBox 4086">
          <a:extLst>
            <a:ext uri="{FF2B5EF4-FFF2-40B4-BE49-F238E27FC236}">
              <a16:creationId xmlns:a16="http://schemas.microsoft.com/office/drawing/2014/main" id="{00000000-0008-0000-0000-000007000000}"/>
            </a:ext>
          </a:extLst>
        </xdr:cNvPr>
        <xdr:cNvSpPr txBox="1"/>
      </xdr:nvSpPr>
      <xdr:spPr>
        <a:xfrm>
          <a:off x="1258062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88" name="TextBox 4087">
          <a:extLst>
            <a:ext uri="{FF2B5EF4-FFF2-40B4-BE49-F238E27FC236}">
              <a16:creationId xmlns:a16="http://schemas.microsoft.com/office/drawing/2014/main" id="{00000000-0008-0000-0000-000007000000}"/>
            </a:ext>
          </a:extLst>
        </xdr:cNvPr>
        <xdr:cNvSpPr txBox="1"/>
      </xdr:nvSpPr>
      <xdr:spPr>
        <a:xfrm>
          <a:off x="1258062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89" name="TextBox 4088">
          <a:extLst>
            <a:ext uri="{FF2B5EF4-FFF2-40B4-BE49-F238E27FC236}">
              <a16:creationId xmlns:a16="http://schemas.microsoft.com/office/drawing/2014/main" id="{00000000-0008-0000-0000-000007000000}"/>
            </a:ext>
          </a:extLst>
        </xdr:cNvPr>
        <xdr:cNvSpPr txBox="1"/>
      </xdr:nvSpPr>
      <xdr:spPr>
        <a:xfrm>
          <a:off x="1258062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90" name="TextBox 4089">
          <a:extLst>
            <a:ext uri="{FF2B5EF4-FFF2-40B4-BE49-F238E27FC236}">
              <a16:creationId xmlns:a16="http://schemas.microsoft.com/office/drawing/2014/main" id="{00000000-0008-0000-0000-000007000000}"/>
            </a:ext>
          </a:extLst>
        </xdr:cNvPr>
        <xdr:cNvSpPr txBox="1"/>
      </xdr:nvSpPr>
      <xdr:spPr>
        <a:xfrm>
          <a:off x="1258062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91" name="TextBox 4090">
          <a:extLst>
            <a:ext uri="{FF2B5EF4-FFF2-40B4-BE49-F238E27FC236}">
              <a16:creationId xmlns:a16="http://schemas.microsoft.com/office/drawing/2014/main" id="{00000000-0008-0000-0000-000007000000}"/>
            </a:ext>
          </a:extLst>
        </xdr:cNvPr>
        <xdr:cNvSpPr txBox="1"/>
      </xdr:nvSpPr>
      <xdr:spPr>
        <a:xfrm>
          <a:off x="1258062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92" name="TextBox 4091">
          <a:extLst>
            <a:ext uri="{FF2B5EF4-FFF2-40B4-BE49-F238E27FC236}">
              <a16:creationId xmlns:a16="http://schemas.microsoft.com/office/drawing/2014/main" id="{00000000-0008-0000-0000-000007000000}"/>
            </a:ext>
          </a:extLst>
        </xdr:cNvPr>
        <xdr:cNvSpPr txBox="1"/>
      </xdr:nvSpPr>
      <xdr:spPr>
        <a:xfrm>
          <a:off x="1258062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93" name="TextBox 4092">
          <a:extLst>
            <a:ext uri="{FF2B5EF4-FFF2-40B4-BE49-F238E27FC236}">
              <a16:creationId xmlns:a16="http://schemas.microsoft.com/office/drawing/2014/main" id="{00000000-0008-0000-0000-000007000000}"/>
            </a:ext>
          </a:extLst>
        </xdr:cNvPr>
        <xdr:cNvSpPr txBox="1"/>
      </xdr:nvSpPr>
      <xdr:spPr>
        <a:xfrm>
          <a:off x="1258062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94" name="TextBox 4093">
          <a:extLst>
            <a:ext uri="{FF2B5EF4-FFF2-40B4-BE49-F238E27FC236}">
              <a16:creationId xmlns:a16="http://schemas.microsoft.com/office/drawing/2014/main" id="{00000000-0008-0000-0000-000007000000}"/>
            </a:ext>
          </a:extLst>
        </xdr:cNvPr>
        <xdr:cNvSpPr txBox="1"/>
      </xdr:nvSpPr>
      <xdr:spPr>
        <a:xfrm>
          <a:off x="1258062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095" name="TextBox 4094">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096" name="TextBox 4095">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097" name="TextBox 4096">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098" name="TextBox 4097">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099" name="TextBox 4098">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100" name="TextBox 4099">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101" name="TextBox 4100">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102" name="TextBox 4101">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103" name="TextBox 4102">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104" name="TextBox 4103">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105" name="TextBox 4104">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106" name="TextBox 4105">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107" name="TextBox 4106">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108" name="TextBox 4107">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109" name="TextBox 4108">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110" name="TextBox 4109">
          <a:extLst>
            <a:ext uri="{FF2B5EF4-FFF2-40B4-BE49-F238E27FC236}">
              <a16:creationId xmlns:a16="http://schemas.microsoft.com/office/drawing/2014/main" id="{00000000-0008-0000-0000-000007000000}"/>
            </a:ext>
          </a:extLst>
        </xdr:cNvPr>
        <xdr:cNvSpPr txBox="1"/>
      </xdr:nvSpPr>
      <xdr:spPr>
        <a:xfrm>
          <a:off x="8267700" y="34648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11" name="TextBox 4110">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12" name="TextBox 4111">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13" name="TextBox 4112">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14" name="TextBox 4113">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15" name="TextBox 4114">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16" name="TextBox 4115">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17" name="TextBox 4116">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18" name="TextBox 4117">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19" name="TextBox 4118">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20" name="TextBox 4119">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21" name="TextBox 4120">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22" name="TextBox 4121">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23" name="TextBox 4122">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24" name="TextBox 4123">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25" name="TextBox 4124">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26" name="TextBox 4125">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27" name="TextBox 4126">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28" name="TextBox 4127">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29" name="TextBox 4128">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30" name="TextBox 4129">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31" name="TextBox 4130">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32" name="TextBox 4131">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33" name="TextBox 4132">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34" name="TextBox 4133">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35" name="TextBox 4134">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36" name="TextBox 4135">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37" name="TextBox 4136">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38" name="TextBox 4137">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39" name="TextBox 4138">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40" name="TextBox 4139">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41" name="TextBox 4140">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42" name="TextBox 4141">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43" name="TextBox 4142">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44" name="TextBox 4143">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45" name="TextBox 4144">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46" name="TextBox 4145">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47" name="TextBox 4146">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48" name="TextBox 4147">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49" name="TextBox 4148">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50" name="TextBox 4149">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51" name="TextBox 4150">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52" name="TextBox 4151">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53" name="TextBox 4152">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154" name="TextBox 4153">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55" name="TextBox 4154">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56" name="TextBox 4155">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57" name="TextBox 4156">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58" name="TextBox 4157">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59" name="TextBox 4158">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60" name="TextBox 4159">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61" name="TextBox 4160">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62" name="TextBox 4161">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63" name="TextBox 4162">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64" name="TextBox 4163">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65" name="TextBox 4164">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66" name="TextBox 4165">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67" name="TextBox 4166">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68" name="TextBox 4167">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69" name="TextBox 4168">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70" name="TextBox 4169">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71" name="TextBox 4170">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72" name="TextBox 4171">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73" name="TextBox 4172">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74" name="TextBox 4173">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75" name="TextBox 4174">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76" name="TextBox 4175">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77" name="TextBox 4176">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78" name="TextBox 4177">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79" name="TextBox 4178">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80" name="TextBox 4179">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81" name="TextBox 4180">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82" name="TextBox 4181">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83" name="TextBox 4182">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84" name="TextBox 4183">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85" name="TextBox 4184">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86" name="TextBox 4185">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87" name="TextBox 4186">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88" name="TextBox 4187">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89" name="TextBox 4188">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90" name="TextBox 4189">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91" name="TextBox 4190">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92" name="TextBox 4191">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93" name="TextBox 4192">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94" name="TextBox 4193">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95" name="TextBox 4194">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96" name="TextBox 4195">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97" name="TextBox 4196">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98" name="TextBox 4197">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199" name="TextBox 4198">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200" name="TextBox 4199">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201" name="TextBox 4200">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202" name="TextBox 4201">
          <a:extLst>
            <a:ext uri="{FF2B5EF4-FFF2-40B4-BE49-F238E27FC236}">
              <a16:creationId xmlns:a16="http://schemas.microsoft.com/office/drawing/2014/main" id="{00000000-0008-0000-0000-000007000000}"/>
            </a:ext>
          </a:extLst>
        </xdr:cNvPr>
        <xdr:cNvSpPr txBox="1"/>
      </xdr:nvSpPr>
      <xdr:spPr>
        <a:xfrm>
          <a:off x="826770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203" name="TextBox 4202">
          <a:extLst>
            <a:ext uri="{FF2B5EF4-FFF2-40B4-BE49-F238E27FC236}">
              <a16:creationId xmlns:a16="http://schemas.microsoft.com/office/drawing/2014/main" id="{00000000-0008-0000-0000-000007000000}"/>
            </a:ext>
          </a:extLst>
        </xdr:cNvPr>
        <xdr:cNvSpPr txBox="1"/>
      </xdr:nvSpPr>
      <xdr:spPr>
        <a:xfrm>
          <a:off x="1258062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204" name="TextBox 4203">
          <a:extLst>
            <a:ext uri="{FF2B5EF4-FFF2-40B4-BE49-F238E27FC236}">
              <a16:creationId xmlns:a16="http://schemas.microsoft.com/office/drawing/2014/main" id="{00000000-0008-0000-0000-000007000000}"/>
            </a:ext>
          </a:extLst>
        </xdr:cNvPr>
        <xdr:cNvSpPr txBox="1"/>
      </xdr:nvSpPr>
      <xdr:spPr>
        <a:xfrm>
          <a:off x="1258062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205" name="TextBox 4204">
          <a:extLst>
            <a:ext uri="{FF2B5EF4-FFF2-40B4-BE49-F238E27FC236}">
              <a16:creationId xmlns:a16="http://schemas.microsoft.com/office/drawing/2014/main" id="{00000000-0008-0000-0000-000007000000}"/>
            </a:ext>
          </a:extLst>
        </xdr:cNvPr>
        <xdr:cNvSpPr txBox="1"/>
      </xdr:nvSpPr>
      <xdr:spPr>
        <a:xfrm>
          <a:off x="1258062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206" name="TextBox 4205">
          <a:extLst>
            <a:ext uri="{FF2B5EF4-FFF2-40B4-BE49-F238E27FC236}">
              <a16:creationId xmlns:a16="http://schemas.microsoft.com/office/drawing/2014/main" id="{00000000-0008-0000-0000-000007000000}"/>
            </a:ext>
          </a:extLst>
        </xdr:cNvPr>
        <xdr:cNvSpPr txBox="1"/>
      </xdr:nvSpPr>
      <xdr:spPr>
        <a:xfrm>
          <a:off x="1258062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207" name="TextBox 4206">
          <a:extLst>
            <a:ext uri="{FF2B5EF4-FFF2-40B4-BE49-F238E27FC236}">
              <a16:creationId xmlns:a16="http://schemas.microsoft.com/office/drawing/2014/main" id="{00000000-0008-0000-0000-000007000000}"/>
            </a:ext>
          </a:extLst>
        </xdr:cNvPr>
        <xdr:cNvSpPr txBox="1"/>
      </xdr:nvSpPr>
      <xdr:spPr>
        <a:xfrm>
          <a:off x="1258062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208" name="TextBox 4207">
          <a:extLst>
            <a:ext uri="{FF2B5EF4-FFF2-40B4-BE49-F238E27FC236}">
              <a16:creationId xmlns:a16="http://schemas.microsoft.com/office/drawing/2014/main" id="{00000000-0008-0000-0000-000007000000}"/>
            </a:ext>
          </a:extLst>
        </xdr:cNvPr>
        <xdr:cNvSpPr txBox="1"/>
      </xdr:nvSpPr>
      <xdr:spPr>
        <a:xfrm>
          <a:off x="1258062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209" name="TextBox 4208">
          <a:extLst>
            <a:ext uri="{FF2B5EF4-FFF2-40B4-BE49-F238E27FC236}">
              <a16:creationId xmlns:a16="http://schemas.microsoft.com/office/drawing/2014/main" id="{00000000-0008-0000-0000-000007000000}"/>
            </a:ext>
          </a:extLst>
        </xdr:cNvPr>
        <xdr:cNvSpPr txBox="1"/>
      </xdr:nvSpPr>
      <xdr:spPr>
        <a:xfrm>
          <a:off x="1258062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210" name="TextBox 4209">
          <a:extLst>
            <a:ext uri="{FF2B5EF4-FFF2-40B4-BE49-F238E27FC236}">
              <a16:creationId xmlns:a16="http://schemas.microsoft.com/office/drawing/2014/main" id="{00000000-0008-0000-0000-000007000000}"/>
            </a:ext>
          </a:extLst>
        </xdr:cNvPr>
        <xdr:cNvSpPr txBox="1"/>
      </xdr:nvSpPr>
      <xdr:spPr>
        <a:xfrm>
          <a:off x="12580620" y="35044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11" name="TextBox 4210">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12" name="TextBox 4211">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13" name="TextBox 4212">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14" name="TextBox 4213">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15" name="TextBox 4214">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16" name="TextBox 4215">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17" name="TextBox 4216">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18" name="TextBox 4217">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19" name="TextBox 4218">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20" name="TextBox 4219">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21" name="TextBox 4220">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22" name="TextBox 4221">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23" name="TextBox 4222">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24" name="TextBox 4223">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25" name="TextBox 4224">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26" name="TextBox 4225">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27" name="TextBox 4226">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28" name="TextBox 4227">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29" name="TextBox 4228">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30" name="TextBox 4229">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31" name="TextBox 4230">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32" name="TextBox 4231">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33" name="TextBox 4232">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34" name="TextBox 4233">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35" name="TextBox 4234">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36" name="TextBox 4235">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37" name="TextBox 4236">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38" name="TextBox 4237">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39" name="TextBox 4238">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40" name="TextBox 4239">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41" name="TextBox 4240">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42" name="TextBox 4241">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43" name="TextBox 4242">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44" name="TextBox 4243">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45" name="TextBox 4244">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46" name="TextBox 4245">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47" name="TextBox 4246">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48" name="TextBox 4247">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49" name="TextBox 4248">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50" name="TextBox 4249">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51" name="TextBox 4250">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52" name="TextBox 4251">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53" name="TextBox 4252">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54" name="TextBox 4253">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55" name="TextBox 4254">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56" name="TextBox 4255">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57" name="TextBox 4256">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58" name="TextBox 4257">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59" name="TextBox 4258">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60" name="TextBox 4259">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61" name="TextBox 4260">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62" name="TextBox 4261">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63" name="TextBox 4262">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64" name="TextBox 4263">
          <a:extLst>
            <a:ext uri="{FF2B5EF4-FFF2-40B4-BE49-F238E27FC236}">
              <a16:creationId xmlns:a16="http://schemas.microsoft.com/office/drawing/2014/main" id="{00000000-0008-0000-0000-000007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65" name="TextBox 4264">
          <a:extLst>
            <a:ext uri="{FF2B5EF4-FFF2-40B4-BE49-F238E27FC236}">
              <a16:creationId xmlns:a16="http://schemas.microsoft.com/office/drawing/2014/main" id="{00000000-0008-0000-0000-000007000000}"/>
            </a:ext>
          </a:extLst>
        </xdr:cNvPr>
        <xdr:cNvSpPr txBox="1"/>
      </xdr:nvSpPr>
      <xdr:spPr>
        <a:xfrm>
          <a:off x="1258062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66" name="TextBox 4265">
          <a:extLst>
            <a:ext uri="{FF2B5EF4-FFF2-40B4-BE49-F238E27FC236}">
              <a16:creationId xmlns:a16="http://schemas.microsoft.com/office/drawing/2014/main" id="{00000000-0008-0000-0000-000007000000}"/>
            </a:ext>
          </a:extLst>
        </xdr:cNvPr>
        <xdr:cNvSpPr txBox="1"/>
      </xdr:nvSpPr>
      <xdr:spPr>
        <a:xfrm>
          <a:off x="1258062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67" name="TextBox 4266">
          <a:extLst>
            <a:ext uri="{FF2B5EF4-FFF2-40B4-BE49-F238E27FC236}">
              <a16:creationId xmlns:a16="http://schemas.microsoft.com/office/drawing/2014/main" id="{00000000-0008-0000-0000-000007000000}"/>
            </a:ext>
          </a:extLst>
        </xdr:cNvPr>
        <xdr:cNvSpPr txBox="1"/>
      </xdr:nvSpPr>
      <xdr:spPr>
        <a:xfrm>
          <a:off x="1258062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68" name="TextBox 4267">
          <a:extLst>
            <a:ext uri="{FF2B5EF4-FFF2-40B4-BE49-F238E27FC236}">
              <a16:creationId xmlns:a16="http://schemas.microsoft.com/office/drawing/2014/main" id="{00000000-0008-0000-0000-000007000000}"/>
            </a:ext>
          </a:extLst>
        </xdr:cNvPr>
        <xdr:cNvSpPr txBox="1"/>
      </xdr:nvSpPr>
      <xdr:spPr>
        <a:xfrm>
          <a:off x="1258062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69" name="TextBox 4268">
          <a:extLst>
            <a:ext uri="{FF2B5EF4-FFF2-40B4-BE49-F238E27FC236}">
              <a16:creationId xmlns:a16="http://schemas.microsoft.com/office/drawing/2014/main" id="{00000000-0008-0000-0000-000007000000}"/>
            </a:ext>
          </a:extLst>
        </xdr:cNvPr>
        <xdr:cNvSpPr txBox="1"/>
      </xdr:nvSpPr>
      <xdr:spPr>
        <a:xfrm>
          <a:off x="1258062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70" name="TextBox 4269">
          <a:extLst>
            <a:ext uri="{FF2B5EF4-FFF2-40B4-BE49-F238E27FC236}">
              <a16:creationId xmlns:a16="http://schemas.microsoft.com/office/drawing/2014/main" id="{00000000-0008-0000-0000-000007000000}"/>
            </a:ext>
          </a:extLst>
        </xdr:cNvPr>
        <xdr:cNvSpPr txBox="1"/>
      </xdr:nvSpPr>
      <xdr:spPr>
        <a:xfrm>
          <a:off x="1258062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71" name="TextBox 4270">
          <a:extLst>
            <a:ext uri="{FF2B5EF4-FFF2-40B4-BE49-F238E27FC236}">
              <a16:creationId xmlns:a16="http://schemas.microsoft.com/office/drawing/2014/main" id="{00000000-0008-0000-0000-000007000000}"/>
            </a:ext>
          </a:extLst>
        </xdr:cNvPr>
        <xdr:cNvSpPr txBox="1"/>
      </xdr:nvSpPr>
      <xdr:spPr>
        <a:xfrm>
          <a:off x="1258062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272" name="TextBox 4271">
          <a:extLst>
            <a:ext uri="{FF2B5EF4-FFF2-40B4-BE49-F238E27FC236}">
              <a16:creationId xmlns:a16="http://schemas.microsoft.com/office/drawing/2014/main" id="{00000000-0008-0000-0000-000007000000}"/>
            </a:ext>
          </a:extLst>
        </xdr:cNvPr>
        <xdr:cNvSpPr txBox="1"/>
      </xdr:nvSpPr>
      <xdr:spPr>
        <a:xfrm>
          <a:off x="1258062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73" name="TextBox 427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74" name="TextBox 427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75" name="TextBox 427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76" name="TextBox 427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77" name="TextBox 427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78" name="TextBox 427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79" name="TextBox 4278">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80" name="TextBox 4279">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81" name="TextBox 4280">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82" name="TextBox 4281">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83" name="TextBox 428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84" name="TextBox 428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85" name="TextBox 428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86" name="TextBox 428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87" name="TextBox 428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88" name="TextBox 428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89" name="TextBox 4288">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90" name="TextBox 4289">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91" name="TextBox 4290">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92" name="TextBox 4291">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93" name="TextBox 429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94" name="TextBox 429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95" name="TextBox 429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96" name="TextBox 429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97" name="TextBox 429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98" name="TextBox 429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299" name="TextBox 4298">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00" name="TextBox 4299">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01" name="TextBox 4300">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02" name="TextBox 4301">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03" name="TextBox 430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04" name="TextBox 430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05" name="TextBox 430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06" name="TextBox 430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07" name="TextBox 430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08" name="TextBox 430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09" name="TextBox 4308">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10" name="TextBox 4309">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11" name="TextBox 4310">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12" name="TextBox 4311">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13" name="TextBox 431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14" name="TextBox 431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15" name="TextBox 431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16" name="TextBox 431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17" name="TextBox 431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18" name="TextBox 431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19" name="TextBox 4318">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20" name="TextBox 4319">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21" name="TextBox 4320">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22" name="TextBox 4321">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23" name="TextBox 432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24" name="TextBox 432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25" name="TextBox 432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26" name="TextBox 432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27" name="TextBox 432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28" name="TextBox 432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29" name="TextBox 4328">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30" name="TextBox 4329">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31" name="TextBox 4330">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32" name="TextBox 4331">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33" name="TextBox 4332">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34" name="TextBox 4333">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35" name="TextBox 4334">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336" name="TextBox 4335">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37" name="TextBox 4336">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38" name="TextBox 4337">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39" name="TextBox 4338">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40" name="TextBox 4339">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41" name="TextBox 4340">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42" name="TextBox 4341">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43" name="TextBox 4342">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44" name="TextBox 4343">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45" name="TextBox 4344">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46" name="TextBox 4345">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47" name="TextBox 4346">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48" name="TextBox 4347">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49" name="TextBox 4348">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50" name="TextBox 4349">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51" name="TextBox 4350">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52" name="TextBox 4351">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53" name="TextBox 4352">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54" name="TextBox 4353">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55" name="TextBox 4354">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56" name="TextBox 4355">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57" name="TextBox 4356">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58" name="TextBox 4357">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59" name="TextBox 4358">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60" name="TextBox 4359">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61" name="TextBox 4360">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62" name="TextBox 4361">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63" name="TextBox 4362">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64" name="TextBox 4363">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65" name="TextBox 4364">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66" name="TextBox 4365">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67" name="TextBox 4366">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68" name="TextBox 4367">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69" name="TextBox 4368">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70" name="TextBox 4369">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71" name="TextBox 4370">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72" name="TextBox 4371">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73" name="TextBox 4372">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74" name="TextBox 4373">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75" name="TextBox 4374">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76" name="TextBox 4375">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77" name="TextBox 4376">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78" name="TextBox 4377">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79" name="TextBox 4378">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80" name="TextBox 4379">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81" name="TextBox 4380">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82" name="TextBox 4381">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83" name="TextBox 4382">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84" name="TextBox 4383">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85" name="TextBox 4384">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86" name="TextBox 4385">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87" name="TextBox 4386">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88" name="TextBox 4387">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89" name="TextBox 4388">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90" name="TextBox 4389">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91" name="TextBox 4390">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92" name="TextBox 4391">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93" name="TextBox 4392">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94" name="TextBox 4393">
          <a:extLst>
            <a:ext uri="{FF2B5EF4-FFF2-40B4-BE49-F238E27FC236}">
              <a16:creationId xmlns:a16="http://schemas.microsoft.com/office/drawing/2014/main" id="{00000000-0008-0000-0000-000007000000}"/>
            </a:ext>
          </a:extLst>
        </xdr:cNvPr>
        <xdr:cNvSpPr txBox="1"/>
      </xdr:nvSpPr>
      <xdr:spPr>
        <a:xfrm>
          <a:off x="826770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95" name="TextBox 4394">
          <a:extLst>
            <a:ext uri="{FF2B5EF4-FFF2-40B4-BE49-F238E27FC236}">
              <a16:creationId xmlns:a16="http://schemas.microsoft.com/office/drawing/2014/main" id="{00000000-0008-0000-0000-000007000000}"/>
            </a:ext>
          </a:extLst>
        </xdr:cNvPr>
        <xdr:cNvSpPr txBox="1"/>
      </xdr:nvSpPr>
      <xdr:spPr>
        <a:xfrm>
          <a:off x="1258062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96" name="TextBox 4395">
          <a:extLst>
            <a:ext uri="{FF2B5EF4-FFF2-40B4-BE49-F238E27FC236}">
              <a16:creationId xmlns:a16="http://schemas.microsoft.com/office/drawing/2014/main" id="{00000000-0008-0000-0000-000007000000}"/>
            </a:ext>
          </a:extLst>
        </xdr:cNvPr>
        <xdr:cNvSpPr txBox="1"/>
      </xdr:nvSpPr>
      <xdr:spPr>
        <a:xfrm>
          <a:off x="1258062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97" name="TextBox 4396">
          <a:extLst>
            <a:ext uri="{FF2B5EF4-FFF2-40B4-BE49-F238E27FC236}">
              <a16:creationId xmlns:a16="http://schemas.microsoft.com/office/drawing/2014/main" id="{00000000-0008-0000-0000-000007000000}"/>
            </a:ext>
          </a:extLst>
        </xdr:cNvPr>
        <xdr:cNvSpPr txBox="1"/>
      </xdr:nvSpPr>
      <xdr:spPr>
        <a:xfrm>
          <a:off x="1258062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98" name="TextBox 4397">
          <a:extLst>
            <a:ext uri="{FF2B5EF4-FFF2-40B4-BE49-F238E27FC236}">
              <a16:creationId xmlns:a16="http://schemas.microsoft.com/office/drawing/2014/main" id="{00000000-0008-0000-0000-000007000000}"/>
            </a:ext>
          </a:extLst>
        </xdr:cNvPr>
        <xdr:cNvSpPr txBox="1"/>
      </xdr:nvSpPr>
      <xdr:spPr>
        <a:xfrm>
          <a:off x="1258062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399" name="TextBox 4398">
          <a:extLst>
            <a:ext uri="{FF2B5EF4-FFF2-40B4-BE49-F238E27FC236}">
              <a16:creationId xmlns:a16="http://schemas.microsoft.com/office/drawing/2014/main" id="{00000000-0008-0000-0000-000007000000}"/>
            </a:ext>
          </a:extLst>
        </xdr:cNvPr>
        <xdr:cNvSpPr txBox="1"/>
      </xdr:nvSpPr>
      <xdr:spPr>
        <a:xfrm>
          <a:off x="1258062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400" name="TextBox 4399">
          <a:extLst>
            <a:ext uri="{FF2B5EF4-FFF2-40B4-BE49-F238E27FC236}">
              <a16:creationId xmlns:a16="http://schemas.microsoft.com/office/drawing/2014/main" id="{00000000-0008-0000-0000-000007000000}"/>
            </a:ext>
          </a:extLst>
        </xdr:cNvPr>
        <xdr:cNvSpPr txBox="1"/>
      </xdr:nvSpPr>
      <xdr:spPr>
        <a:xfrm>
          <a:off x="1258062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401" name="TextBox 4400">
          <a:extLst>
            <a:ext uri="{FF2B5EF4-FFF2-40B4-BE49-F238E27FC236}">
              <a16:creationId xmlns:a16="http://schemas.microsoft.com/office/drawing/2014/main" id="{00000000-0008-0000-0000-000007000000}"/>
            </a:ext>
          </a:extLst>
        </xdr:cNvPr>
        <xdr:cNvSpPr txBox="1"/>
      </xdr:nvSpPr>
      <xdr:spPr>
        <a:xfrm>
          <a:off x="1258062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402" name="TextBox 4401">
          <a:extLst>
            <a:ext uri="{FF2B5EF4-FFF2-40B4-BE49-F238E27FC236}">
              <a16:creationId xmlns:a16="http://schemas.microsoft.com/office/drawing/2014/main" id="{00000000-0008-0000-0000-000007000000}"/>
            </a:ext>
          </a:extLst>
        </xdr:cNvPr>
        <xdr:cNvSpPr txBox="1"/>
      </xdr:nvSpPr>
      <xdr:spPr>
        <a:xfrm>
          <a:off x="12580620" y="35638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403" name="TextBox 4402">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404" name="TextBox 4403">
          <a:extLst>
            <a:ext uri="{FF2B5EF4-FFF2-40B4-BE49-F238E27FC236}">
              <a16:creationId xmlns:a16="http://schemas.microsoft.com/office/drawing/2014/main" id="{00000000-0008-0000-0000-000007000000}"/>
            </a:ext>
          </a:extLst>
        </xdr:cNvPr>
        <xdr:cNvSpPr txBox="1"/>
      </xdr:nvSpPr>
      <xdr:spPr>
        <a:xfrm>
          <a:off x="8267700" y="34450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05" name="TextBox 4404">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06" name="TextBox 4405">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07" name="TextBox 4406">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08" name="TextBox 4407">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09" name="TextBox 4408">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10" name="TextBox 4409">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11" name="TextBox 4410">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12" name="TextBox 4411">
          <a:extLst>
            <a:ext uri="{FF2B5EF4-FFF2-40B4-BE49-F238E27FC236}">
              <a16:creationId xmlns:a16="http://schemas.microsoft.com/office/drawing/2014/main" id="{00000000-0008-0000-0000-000007000000}"/>
            </a:ext>
          </a:extLst>
        </xdr:cNvPr>
        <xdr:cNvSpPr txBox="1"/>
      </xdr:nvSpPr>
      <xdr:spPr>
        <a:xfrm>
          <a:off x="1258062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13" name="TextBox 441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14" name="TextBox 441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15" name="TextBox 441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16" name="TextBox 441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17" name="TextBox 441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18" name="TextBox 441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19" name="TextBox 4418">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20" name="TextBox 4419">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21" name="TextBox 4420">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22" name="TextBox 4421">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23" name="TextBox 442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24" name="TextBox 442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25" name="TextBox 442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26" name="TextBox 442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27" name="TextBox 442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28" name="TextBox 442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29" name="TextBox 4428">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30" name="TextBox 4429">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31" name="TextBox 4430">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32" name="TextBox 4431">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33" name="TextBox 443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34" name="TextBox 443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35" name="TextBox 443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36" name="TextBox 443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37" name="TextBox 443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38" name="TextBox 443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39" name="TextBox 4438">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40" name="TextBox 4439">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41" name="TextBox 4440">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42" name="TextBox 4441">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43" name="TextBox 444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44" name="TextBox 444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45" name="TextBox 444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46" name="TextBox 444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47" name="TextBox 444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48" name="TextBox 444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49" name="TextBox 4448">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50" name="TextBox 4449">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51" name="TextBox 4450">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52" name="TextBox 4451">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53" name="TextBox 445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54" name="TextBox 445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55" name="TextBox 445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56" name="TextBox 445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57" name="TextBox 445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58" name="TextBox 445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59" name="TextBox 4458">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60" name="TextBox 4459">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61" name="TextBox 4460">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62" name="TextBox 4461">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63" name="TextBox 4462">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64" name="TextBox 4463">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65" name="TextBox 4464">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66" name="TextBox 4465">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67" name="TextBox 4466">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68" name="TextBox 4467">
          <a:extLst>
            <a:ext uri="{FF2B5EF4-FFF2-40B4-BE49-F238E27FC236}">
              <a16:creationId xmlns:a16="http://schemas.microsoft.com/office/drawing/2014/main" id="{00000000-0008-0000-0000-000007000000}"/>
            </a:ext>
          </a:extLst>
        </xdr:cNvPr>
        <xdr:cNvSpPr txBox="1"/>
      </xdr:nvSpPr>
      <xdr:spPr>
        <a:xfrm>
          <a:off x="826770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69" name="TextBox 4468">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70" name="TextBox 4469">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71" name="TextBox 4470">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72" name="TextBox 4471">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73" name="TextBox 4472">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74" name="TextBox 4473">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75" name="TextBox 4474">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476" name="TextBox 4475">
          <a:extLst>
            <a:ext uri="{FF2B5EF4-FFF2-40B4-BE49-F238E27FC236}">
              <a16:creationId xmlns:a16="http://schemas.microsoft.com/office/drawing/2014/main" id="{00000000-0008-0000-0000-000007000000}"/>
            </a:ext>
          </a:extLst>
        </xdr:cNvPr>
        <xdr:cNvSpPr txBox="1"/>
      </xdr:nvSpPr>
      <xdr:spPr>
        <a:xfrm>
          <a:off x="12580620" y="35440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3843" name="TextBox 3842">
          <a:extLst>
            <a:ext uri="{FF2B5EF4-FFF2-40B4-BE49-F238E27FC236}">
              <a16:creationId xmlns:a16="http://schemas.microsoft.com/office/drawing/2014/main" id="{00000000-0008-0000-0000-000007000000}"/>
            </a:ext>
          </a:extLst>
        </xdr:cNvPr>
        <xdr:cNvSpPr txBox="1"/>
      </xdr:nvSpPr>
      <xdr:spPr>
        <a:xfrm>
          <a:off x="8267700" y="33352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3847" name="TextBox 3846">
          <a:extLst>
            <a:ext uri="{FF2B5EF4-FFF2-40B4-BE49-F238E27FC236}">
              <a16:creationId xmlns:a16="http://schemas.microsoft.com/office/drawing/2014/main" id="{00000000-0008-0000-0000-00000B000000}"/>
            </a:ext>
          </a:extLst>
        </xdr:cNvPr>
        <xdr:cNvSpPr txBox="1"/>
      </xdr:nvSpPr>
      <xdr:spPr>
        <a:xfrm>
          <a:off x="8267700" y="33352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848" name="TextBox 3847">
          <a:extLst>
            <a:ext uri="{FF2B5EF4-FFF2-40B4-BE49-F238E27FC236}">
              <a16:creationId xmlns:a16="http://schemas.microsoft.com/office/drawing/2014/main" id="{00000000-0008-0000-0000-00000C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849" name="TextBox 3848">
          <a:extLst>
            <a:ext uri="{FF2B5EF4-FFF2-40B4-BE49-F238E27FC236}">
              <a16:creationId xmlns:a16="http://schemas.microsoft.com/office/drawing/2014/main" id="{00000000-0008-0000-0000-00000D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850" name="TextBox 3849">
          <a:extLst>
            <a:ext uri="{FF2B5EF4-FFF2-40B4-BE49-F238E27FC236}">
              <a16:creationId xmlns:a16="http://schemas.microsoft.com/office/drawing/2014/main" id="{00000000-0008-0000-0000-00000E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851" name="TextBox 3850">
          <a:extLst>
            <a:ext uri="{FF2B5EF4-FFF2-40B4-BE49-F238E27FC236}">
              <a16:creationId xmlns:a16="http://schemas.microsoft.com/office/drawing/2014/main" id="{00000000-0008-0000-0000-00000F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852" name="TextBox 3851">
          <a:extLst>
            <a:ext uri="{FF2B5EF4-FFF2-40B4-BE49-F238E27FC236}">
              <a16:creationId xmlns:a16="http://schemas.microsoft.com/office/drawing/2014/main" id="{00000000-0008-0000-0000-000010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853" name="TextBox 3852">
          <a:extLst>
            <a:ext uri="{FF2B5EF4-FFF2-40B4-BE49-F238E27FC236}">
              <a16:creationId xmlns:a16="http://schemas.microsoft.com/office/drawing/2014/main" id="{00000000-0008-0000-0000-000011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854" name="TextBox 3853">
          <a:extLst>
            <a:ext uri="{FF2B5EF4-FFF2-40B4-BE49-F238E27FC236}">
              <a16:creationId xmlns:a16="http://schemas.microsoft.com/office/drawing/2014/main" id="{00000000-0008-0000-0000-000012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855" name="TextBox 3854">
          <a:extLst>
            <a:ext uri="{FF2B5EF4-FFF2-40B4-BE49-F238E27FC236}">
              <a16:creationId xmlns:a16="http://schemas.microsoft.com/office/drawing/2014/main" id="{00000000-0008-0000-0000-000013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856" name="TextBox 3855">
          <a:extLst>
            <a:ext uri="{FF2B5EF4-FFF2-40B4-BE49-F238E27FC236}">
              <a16:creationId xmlns:a16="http://schemas.microsoft.com/office/drawing/2014/main" id="{00000000-0008-0000-0000-000014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3857" name="TextBox 3856">
          <a:extLst>
            <a:ext uri="{FF2B5EF4-FFF2-40B4-BE49-F238E27FC236}">
              <a16:creationId xmlns:a16="http://schemas.microsoft.com/office/drawing/2014/main" id="{00000000-0008-0000-0000-000015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858" name="TextBox 3857">
          <a:extLst>
            <a:ext uri="{FF2B5EF4-FFF2-40B4-BE49-F238E27FC236}">
              <a16:creationId xmlns:a16="http://schemas.microsoft.com/office/drawing/2014/main" id="{00000000-0008-0000-0000-00001600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3859" name="TextBox 3858">
          <a:extLst>
            <a:ext uri="{FF2B5EF4-FFF2-40B4-BE49-F238E27FC236}">
              <a16:creationId xmlns:a16="http://schemas.microsoft.com/office/drawing/2014/main" id="{00000000-0008-0000-0000-00001700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860" name="TextBox 3859">
          <a:extLst>
            <a:ext uri="{FF2B5EF4-FFF2-40B4-BE49-F238E27FC236}">
              <a16:creationId xmlns:a16="http://schemas.microsoft.com/office/drawing/2014/main" id="{00000000-0008-0000-0000-00001800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3861" name="TextBox 3860">
          <a:extLst>
            <a:ext uri="{FF2B5EF4-FFF2-40B4-BE49-F238E27FC236}">
              <a16:creationId xmlns:a16="http://schemas.microsoft.com/office/drawing/2014/main" id="{00000000-0008-0000-0000-00001900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3862" name="TextBox 3861">
          <a:extLst>
            <a:ext uri="{FF2B5EF4-FFF2-40B4-BE49-F238E27FC236}">
              <a16:creationId xmlns:a16="http://schemas.microsoft.com/office/drawing/2014/main" id="{00000000-0008-0000-0000-00001A000000}"/>
            </a:ext>
          </a:extLst>
        </xdr:cNvPr>
        <xdr:cNvSpPr txBox="1"/>
      </xdr:nvSpPr>
      <xdr:spPr>
        <a:xfrm>
          <a:off x="8267700" y="34952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3863" name="TextBox 3862">
          <a:extLst>
            <a:ext uri="{FF2B5EF4-FFF2-40B4-BE49-F238E27FC236}">
              <a16:creationId xmlns:a16="http://schemas.microsoft.com/office/drawing/2014/main" id="{00000000-0008-0000-0000-00001B000000}"/>
            </a:ext>
          </a:extLst>
        </xdr:cNvPr>
        <xdr:cNvSpPr txBox="1"/>
      </xdr:nvSpPr>
      <xdr:spPr>
        <a:xfrm>
          <a:off x="8267700" y="34952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3864" name="TextBox 3863">
          <a:extLst>
            <a:ext uri="{FF2B5EF4-FFF2-40B4-BE49-F238E27FC236}">
              <a16:creationId xmlns:a16="http://schemas.microsoft.com/office/drawing/2014/main" id="{00000000-0008-0000-0000-00001C000000}"/>
            </a:ext>
          </a:extLst>
        </xdr:cNvPr>
        <xdr:cNvSpPr txBox="1"/>
      </xdr:nvSpPr>
      <xdr:spPr>
        <a:xfrm>
          <a:off x="8267700" y="35135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3865" name="TextBox 3864">
          <a:extLst>
            <a:ext uri="{FF2B5EF4-FFF2-40B4-BE49-F238E27FC236}">
              <a16:creationId xmlns:a16="http://schemas.microsoft.com/office/drawing/2014/main" id="{00000000-0008-0000-0000-00001D000000}"/>
            </a:ext>
          </a:extLst>
        </xdr:cNvPr>
        <xdr:cNvSpPr txBox="1"/>
      </xdr:nvSpPr>
      <xdr:spPr>
        <a:xfrm>
          <a:off x="8267700" y="35135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3866" name="TextBox 3865">
          <a:extLst>
            <a:ext uri="{FF2B5EF4-FFF2-40B4-BE49-F238E27FC236}">
              <a16:creationId xmlns:a16="http://schemas.microsoft.com/office/drawing/2014/main" id="{00000000-0008-0000-0000-00001E000000}"/>
            </a:ext>
          </a:extLst>
        </xdr:cNvPr>
        <xdr:cNvSpPr txBox="1"/>
      </xdr:nvSpPr>
      <xdr:spPr>
        <a:xfrm>
          <a:off x="8267700" y="36233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3867" name="TextBox 3866">
          <a:extLst>
            <a:ext uri="{FF2B5EF4-FFF2-40B4-BE49-F238E27FC236}">
              <a16:creationId xmlns:a16="http://schemas.microsoft.com/office/drawing/2014/main" id="{00000000-0008-0000-0000-00001F000000}"/>
            </a:ext>
          </a:extLst>
        </xdr:cNvPr>
        <xdr:cNvSpPr txBox="1"/>
      </xdr:nvSpPr>
      <xdr:spPr>
        <a:xfrm>
          <a:off x="8267700" y="36233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3868" name="TextBox 3867">
          <a:extLst>
            <a:ext uri="{FF2B5EF4-FFF2-40B4-BE49-F238E27FC236}">
              <a16:creationId xmlns:a16="http://schemas.microsoft.com/office/drawing/2014/main" id="{00000000-0008-0000-0000-000020000000}"/>
            </a:ext>
          </a:extLst>
        </xdr:cNvPr>
        <xdr:cNvSpPr txBox="1"/>
      </xdr:nvSpPr>
      <xdr:spPr>
        <a:xfrm>
          <a:off x="8267700" y="36415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3869" name="TextBox 3868">
          <a:extLst>
            <a:ext uri="{FF2B5EF4-FFF2-40B4-BE49-F238E27FC236}">
              <a16:creationId xmlns:a16="http://schemas.microsoft.com/office/drawing/2014/main" id="{00000000-0008-0000-0000-000021000000}"/>
            </a:ext>
          </a:extLst>
        </xdr:cNvPr>
        <xdr:cNvSpPr txBox="1"/>
      </xdr:nvSpPr>
      <xdr:spPr>
        <a:xfrm>
          <a:off x="8267700" y="36415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870" name="TextBox 3869">
          <a:extLst>
            <a:ext uri="{FF2B5EF4-FFF2-40B4-BE49-F238E27FC236}">
              <a16:creationId xmlns:a16="http://schemas.microsoft.com/office/drawing/2014/main" id="{00000000-0008-0000-0000-000022000000}"/>
            </a:ext>
          </a:extLst>
        </xdr:cNvPr>
        <xdr:cNvSpPr txBox="1"/>
      </xdr:nvSpPr>
      <xdr:spPr>
        <a:xfrm>
          <a:off x="8267700" y="36598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871" name="TextBox 3870">
          <a:extLst>
            <a:ext uri="{FF2B5EF4-FFF2-40B4-BE49-F238E27FC236}">
              <a16:creationId xmlns:a16="http://schemas.microsoft.com/office/drawing/2014/main" id="{00000000-0008-0000-0000-000023000000}"/>
            </a:ext>
          </a:extLst>
        </xdr:cNvPr>
        <xdr:cNvSpPr txBox="1"/>
      </xdr:nvSpPr>
      <xdr:spPr>
        <a:xfrm>
          <a:off x="8267700" y="36598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72" name="TextBox 3871">
          <a:extLst>
            <a:ext uri="{FF2B5EF4-FFF2-40B4-BE49-F238E27FC236}">
              <a16:creationId xmlns:a16="http://schemas.microsoft.com/office/drawing/2014/main" id="{00000000-0008-0000-0000-00002400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73" name="TextBox 3872">
          <a:extLst>
            <a:ext uri="{FF2B5EF4-FFF2-40B4-BE49-F238E27FC236}">
              <a16:creationId xmlns:a16="http://schemas.microsoft.com/office/drawing/2014/main" id="{00000000-0008-0000-0000-00002500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3874" name="TextBox 3873">
          <a:extLst>
            <a:ext uri="{FF2B5EF4-FFF2-40B4-BE49-F238E27FC236}">
              <a16:creationId xmlns:a16="http://schemas.microsoft.com/office/drawing/2014/main" id="{00000000-0008-0000-0000-000026000000}"/>
            </a:ext>
          </a:extLst>
        </xdr:cNvPr>
        <xdr:cNvSpPr txBox="1"/>
      </xdr:nvSpPr>
      <xdr:spPr>
        <a:xfrm>
          <a:off x="8267700" y="36964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3875" name="TextBox 3874">
          <a:extLst>
            <a:ext uri="{FF2B5EF4-FFF2-40B4-BE49-F238E27FC236}">
              <a16:creationId xmlns:a16="http://schemas.microsoft.com/office/drawing/2014/main" id="{00000000-0008-0000-0000-000027000000}"/>
            </a:ext>
          </a:extLst>
        </xdr:cNvPr>
        <xdr:cNvSpPr txBox="1"/>
      </xdr:nvSpPr>
      <xdr:spPr>
        <a:xfrm>
          <a:off x="8267700" y="36964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3876" name="TextBox 3875">
          <a:extLst>
            <a:ext uri="{FF2B5EF4-FFF2-40B4-BE49-F238E27FC236}">
              <a16:creationId xmlns:a16="http://schemas.microsoft.com/office/drawing/2014/main" id="{00000000-0008-0000-0000-000028000000}"/>
            </a:ext>
          </a:extLst>
        </xdr:cNvPr>
        <xdr:cNvSpPr txBox="1"/>
      </xdr:nvSpPr>
      <xdr:spPr>
        <a:xfrm>
          <a:off x="8267700" y="3806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3877" name="TextBox 3876">
          <a:extLst>
            <a:ext uri="{FF2B5EF4-FFF2-40B4-BE49-F238E27FC236}">
              <a16:creationId xmlns:a16="http://schemas.microsoft.com/office/drawing/2014/main" id="{00000000-0008-0000-0000-000029000000}"/>
            </a:ext>
          </a:extLst>
        </xdr:cNvPr>
        <xdr:cNvSpPr txBox="1"/>
      </xdr:nvSpPr>
      <xdr:spPr>
        <a:xfrm>
          <a:off x="8267700" y="3806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3878" name="TextBox 3877">
          <a:extLst>
            <a:ext uri="{FF2B5EF4-FFF2-40B4-BE49-F238E27FC236}">
              <a16:creationId xmlns:a16="http://schemas.microsoft.com/office/drawing/2014/main" id="{00000000-0008-0000-0000-00002A000000}"/>
            </a:ext>
          </a:extLst>
        </xdr:cNvPr>
        <xdr:cNvSpPr txBox="1"/>
      </xdr:nvSpPr>
      <xdr:spPr>
        <a:xfrm>
          <a:off x="8267700" y="3824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3879" name="TextBox 3878">
          <a:extLst>
            <a:ext uri="{FF2B5EF4-FFF2-40B4-BE49-F238E27FC236}">
              <a16:creationId xmlns:a16="http://schemas.microsoft.com/office/drawing/2014/main" id="{00000000-0008-0000-0000-00002B000000}"/>
            </a:ext>
          </a:extLst>
        </xdr:cNvPr>
        <xdr:cNvSpPr txBox="1"/>
      </xdr:nvSpPr>
      <xdr:spPr>
        <a:xfrm>
          <a:off x="8267700" y="3824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3880" name="TextBox 3879">
          <a:extLst>
            <a:ext uri="{FF2B5EF4-FFF2-40B4-BE49-F238E27FC236}">
              <a16:creationId xmlns:a16="http://schemas.microsoft.com/office/drawing/2014/main" id="{00000000-0008-0000-0000-00002C000000}"/>
            </a:ext>
          </a:extLst>
        </xdr:cNvPr>
        <xdr:cNvSpPr txBox="1"/>
      </xdr:nvSpPr>
      <xdr:spPr>
        <a:xfrm>
          <a:off x="8267700" y="3842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3881" name="TextBox 3880">
          <a:extLst>
            <a:ext uri="{FF2B5EF4-FFF2-40B4-BE49-F238E27FC236}">
              <a16:creationId xmlns:a16="http://schemas.microsoft.com/office/drawing/2014/main" id="{00000000-0008-0000-0000-00002D000000}"/>
            </a:ext>
          </a:extLst>
        </xdr:cNvPr>
        <xdr:cNvSpPr txBox="1"/>
      </xdr:nvSpPr>
      <xdr:spPr>
        <a:xfrm>
          <a:off x="8267700" y="3842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3882" name="TextBox 3881">
          <a:extLst>
            <a:ext uri="{FF2B5EF4-FFF2-40B4-BE49-F238E27FC236}">
              <a16:creationId xmlns:a16="http://schemas.microsoft.com/office/drawing/2014/main" id="{00000000-0008-0000-0000-00002E000000}"/>
            </a:ext>
          </a:extLst>
        </xdr:cNvPr>
        <xdr:cNvSpPr txBox="1"/>
      </xdr:nvSpPr>
      <xdr:spPr>
        <a:xfrm>
          <a:off x="8267700" y="3861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3883" name="TextBox 3882">
          <a:extLst>
            <a:ext uri="{FF2B5EF4-FFF2-40B4-BE49-F238E27FC236}">
              <a16:creationId xmlns:a16="http://schemas.microsoft.com/office/drawing/2014/main" id="{00000000-0008-0000-0000-00002F000000}"/>
            </a:ext>
          </a:extLst>
        </xdr:cNvPr>
        <xdr:cNvSpPr txBox="1"/>
      </xdr:nvSpPr>
      <xdr:spPr>
        <a:xfrm>
          <a:off x="8267700" y="3861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3884" name="TextBox 3883">
          <a:extLst>
            <a:ext uri="{FF2B5EF4-FFF2-40B4-BE49-F238E27FC236}">
              <a16:creationId xmlns:a16="http://schemas.microsoft.com/office/drawing/2014/main" id="{00000000-0008-0000-0000-000030000000}"/>
            </a:ext>
          </a:extLst>
        </xdr:cNvPr>
        <xdr:cNvSpPr txBox="1"/>
      </xdr:nvSpPr>
      <xdr:spPr>
        <a:xfrm>
          <a:off x="826770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3885" name="TextBox 3884">
          <a:extLst>
            <a:ext uri="{FF2B5EF4-FFF2-40B4-BE49-F238E27FC236}">
              <a16:creationId xmlns:a16="http://schemas.microsoft.com/office/drawing/2014/main" id="{00000000-0008-0000-0000-000031000000}"/>
            </a:ext>
          </a:extLst>
        </xdr:cNvPr>
        <xdr:cNvSpPr txBox="1"/>
      </xdr:nvSpPr>
      <xdr:spPr>
        <a:xfrm>
          <a:off x="826770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86" name="TextBox 3885">
          <a:extLst>
            <a:ext uri="{FF2B5EF4-FFF2-40B4-BE49-F238E27FC236}">
              <a16:creationId xmlns:a16="http://schemas.microsoft.com/office/drawing/2014/main" id="{00000000-0008-0000-0000-000032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87" name="TextBox 3886">
          <a:extLst>
            <a:ext uri="{FF2B5EF4-FFF2-40B4-BE49-F238E27FC236}">
              <a16:creationId xmlns:a16="http://schemas.microsoft.com/office/drawing/2014/main" id="{00000000-0008-0000-0000-000033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88" name="TextBox 3887">
          <a:extLst>
            <a:ext uri="{FF2B5EF4-FFF2-40B4-BE49-F238E27FC236}">
              <a16:creationId xmlns:a16="http://schemas.microsoft.com/office/drawing/2014/main" id="{00000000-0008-0000-0000-000034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89" name="TextBox 3888">
          <a:extLst>
            <a:ext uri="{FF2B5EF4-FFF2-40B4-BE49-F238E27FC236}">
              <a16:creationId xmlns:a16="http://schemas.microsoft.com/office/drawing/2014/main" id="{00000000-0008-0000-0000-000035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90" name="TextBox 3889">
          <a:extLst>
            <a:ext uri="{FF2B5EF4-FFF2-40B4-BE49-F238E27FC236}">
              <a16:creationId xmlns:a16="http://schemas.microsoft.com/office/drawing/2014/main" id="{00000000-0008-0000-0000-000036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91" name="TextBox 3890">
          <a:extLst>
            <a:ext uri="{FF2B5EF4-FFF2-40B4-BE49-F238E27FC236}">
              <a16:creationId xmlns:a16="http://schemas.microsoft.com/office/drawing/2014/main" id="{00000000-0008-0000-0000-000037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92" name="TextBox 3891">
          <a:extLst>
            <a:ext uri="{FF2B5EF4-FFF2-40B4-BE49-F238E27FC236}">
              <a16:creationId xmlns:a16="http://schemas.microsoft.com/office/drawing/2014/main" id="{00000000-0008-0000-0000-000038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93" name="TextBox 3892">
          <a:extLst>
            <a:ext uri="{FF2B5EF4-FFF2-40B4-BE49-F238E27FC236}">
              <a16:creationId xmlns:a16="http://schemas.microsoft.com/office/drawing/2014/main" id="{00000000-0008-0000-0000-000039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94" name="TextBox 3893">
          <a:extLst>
            <a:ext uri="{FF2B5EF4-FFF2-40B4-BE49-F238E27FC236}">
              <a16:creationId xmlns:a16="http://schemas.microsoft.com/office/drawing/2014/main" id="{00000000-0008-0000-0000-00003A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95" name="TextBox 3894">
          <a:extLst>
            <a:ext uri="{FF2B5EF4-FFF2-40B4-BE49-F238E27FC236}">
              <a16:creationId xmlns:a16="http://schemas.microsoft.com/office/drawing/2014/main" id="{00000000-0008-0000-0000-00003B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96" name="TextBox 3895">
          <a:extLst>
            <a:ext uri="{FF2B5EF4-FFF2-40B4-BE49-F238E27FC236}">
              <a16:creationId xmlns:a16="http://schemas.microsoft.com/office/drawing/2014/main" id="{00000000-0008-0000-0000-00003C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97" name="TextBox 3896">
          <a:extLst>
            <a:ext uri="{FF2B5EF4-FFF2-40B4-BE49-F238E27FC236}">
              <a16:creationId xmlns:a16="http://schemas.microsoft.com/office/drawing/2014/main" id="{00000000-0008-0000-0000-00003D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98" name="TextBox 3897">
          <a:extLst>
            <a:ext uri="{FF2B5EF4-FFF2-40B4-BE49-F238E27FC236}">
              <a16:creationId xmlns:a16="http://schemas.microsoft.com/office/drawing/2014/main" id="{00000000-0008-0000-0000-00003E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899" name="TextBox 3898">
          <a:extLst>
            <a:ext uri="{FF2B5EF4-FFF2-40B4-BE49-F238E27FC236}">
              <a16:creationId xmlns:a16="http://schemas.microsoft.com/office/drawing/2014/main" id="{00000000-0008-0000-0000-00003F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900" name="TextBox 3899">
          <a:extLst>
            <a:ext uri="{FF2B5EF4-FFF2-40B4-BE49-F238E27FC236}">
              <a16:creationId xmlns:a16="http://schemas.microsoft.com/office/drawing/2014/main" id="{00000000-0008-0000-0000-000040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901" name="TextBox 3900">
          <a:extLst>
            <a:ext uri="{FF2B5EF4-FFF2-40B4-BE49-F238E27FC236}">
              <a16:creationId xmlns:a16="http://schemas.microsoft.com/office/drawing/2014/main" id="{00000000-0008-0000-0000-000041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902" name="TextBox 3901">
          <a:extLst>
            <a:ext uri="{FF2B5EF4-FFF2-40B4-BE49-F238E27FC236}">
              <a16:creationId xmlns:a16="http://schemas.microsoft.com/office/drawing/2014/main" id="{00000000-0008-0000-0000-000042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903" name="TextBox 3902">
          <a:extLst>
            <a:ext uri="{FF2B5EF4-FFF2-40B4-BE49-F238E27FC236}">
              <a16:creationId xmlns:a16="http://schemas.microsoft.com/office/drawing/2014/main" id="{00000000-0008-0000-0000-000043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904" name="TextBox 3903">
          <a:extLst>
            <a:ext uri="{FF2B5EF4-FFF2-40B4-BE49-F238E27FC236}">
              <a16:creationId xmlns:a16="http://schemas.microsoft.com/office/drawing/2014/main" id="{00000000-0008-0000-0000-000044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3905" name="TextBox 3904">
          <a:extLst>
            <a:ext uri="{FF2B5EF4-FFF2-40B4-BE49-F238E27FC236}">
              <a16:creationId xmlns:a16="http://schemas.microsoft.com/office/drawing/2014/main" id="{00000000-0008-0000-0000-000045000000}"/>
            </a:ext>
          </a:extLst>
        </xdr:cNvPr>
        <xdr:cNvSpPr txBox="1"/>
      </xdr:nvSpPr>
      <xdr:spPr>
        <a:xfrm>
          <a:off x="8267700" y="39524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06" name="TextBox 3905">
          <a:extLst>
            <a:ext uri="{FF2B5EF4-FFF2-40B4-BE49-F238E27FC236}">
              <a16:creationId xmlns:a16="http://schemas.microsoft.com/office/drawing/2014/main" id="{00000000-0008-0000-0000-000048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07" name="TextBox 3906">
          <a:extLst>
            <a:ext uri="{FF2B5EF4-FFF2-40B4-BE49-F238E27FC236}">
              <a16:creationId xmlns:a16="http://schemas.microsoft.com/office/drawing/2014/main" id="{00000000-0008-0000-0000-000049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08" name="TextBox 3907">
          <a:extLst>
            <a:ext uri="{FF2B5EF4-FFF2-40B4-BE49-F238E27FC236}">
              <a16:creationId xmlns:a16="http://schemas.microsoft.com/office/drawing/2014/main" id="{00000000-0008-0000-0000-00004C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09" name="TextBox 3908">
          <a:extLst>
            <a:ext uri="{FF2B5EF4-FFF2-40B4-BE49-F238E27FC236}">
              <a16:creationId xmlns:a16="http://schemas.microsoft.com/office/drawing/2014/main" id="{00000000-0008-0000-0000-00004D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910" name="TextBox 3909">
          <a:extLst>
            <a:ext uri="{FF2B5EF4-FFF2-40B4-BE49-F238E27FC236}">
              <a16:creationId xmlns:a16="http://schemas.microsoft.com/office/drawing/2014/main" id="{00000000-0008-0000-0000-00004E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911" name="TextBox 3910">
          <a:extLst>
            <a:ext uri="{FF2B5EF4-FFF2-40B4-BE49-F238E27FC236}">
              <a16:creationId xmlns:a16="http://schemas.microsoft.com/office/drawing/2014/main" id="{00000000-0008-0000-0000-00004F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912" name="TextBox 3911">
          <a:extLst>
            <a:ext uri="{FF2B5EF4-FFF2-40B4-BE49-F238E27FC236}">
              <a16:creationId xmlns:a16="http://schemas.microsoft.com/office/drawing/2014/main" id="{00000000-0008-0000-0000-000050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3913" name="TextBox 3912">
          <a:extLst>
            <a:ext uri="{FF2B5EF4-FFF2-40B4-BE49-F238E27FC236}">
              <a16:creationId xmlns:a16="http://schemas.microsoft.com/office/drawing/2014/main" id="{00000000-0008-0000-0000-000051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14" name="TextBox 3913">
          <a:extLst>
            <a:ext uri="{FF2B5EF4-FFF2-40B4-BE49-F238E27FC236}">
              <a16:creationId xmlns:a16="http://schemas.microsoft.com/office/drawing/2014/main" id="{00000000-0008-0000-0000-000052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15" name="TextBox 3914">
          <a:extLst>
            <a:ext uri="{FF2B5EF4-FFF2-40B4-BE49-F238E27FC236}">
              <a16:creationId xmlns:a16="http://schemas.microsoft.com/office/drawing/2014/main" id="{00000000-0008-0000-0000-000053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16" name="TextBox 3915">
          <a:extLst>
            <a:ext uri="{FF2B5EF4-FFF2-40B4-BE49-F238E27FC236}">
              <a16:creationId xmlns:a16="http://schemas.microsoft.com/office/drawing/2014/main" id="{00000000-0008-0000-0000-000054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17" name="TextBox 3916">
          <a:extLst>
            <a:ext uri="{FF2B5EF4-FFF2-40B4-BE49-F238E27FC236}">
              <a16:creationId xmlns:a16="http://schemas.microsoft.com/office/drawing/2014/main" id="{00000000-0008-0000-0000-000055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18" name="TextBox 3917">
          <a:extLst>
            <a:ext uri="{FF2B5EF4-FFF2-40B4-BE49-F238E27FC236}">
              <a16:creationId xmlns:a16="http://schemas.microsoft.com/office/drawing/2014/main" id="{00000000-0008-0000-0000-000056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19" name="TextBox 3918">
          <a:extLst>
            <a:ext uri="{FF2B5EF4-FFF2-40B4-BE49-F238E27FC236}">
              <a16:creationId xmlns:a16="http://schemas.microsoft.com/office/drawing/2014/main" id="{00000000-0008-0000-0000-000057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20" name="TextBox 3919">
          <a:extLst>
            <a:ext uri="{FF2B5EF4-FFF2-40B4-BE49-F238E27FC236}">
              <a16:creationId xmlns:a16="http://schemas.microsoft.com/office/drawing/2014/main" id="{00000000-0008-0000-0000-000058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21" name="TextBox 3920">
          <a:extLst>
            <a:ext uri="{FF2B5EF4-FFF2-40B4-BE49-F238E27FC236}">
              <a16:creationId xmlns:a16="http://schemas.microsoft.com/office/drawing/2014/main" id="{00000000-0008-0000-0000-000059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22" name="TextBox 3921">
          <a:extLst>
            <a:ext uri="{FF2B5EF4-FFF2-40B4-BE49-F238E27FC236}">
              <a16:creationId xmlns:a16="http://schemas.microsoft.com/office/drawing/2014/main" id="{00000000-0008-0000-0000-00005A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23" name="TextBox 3922">
          <a:extLst>
            <a:ext uri="{FF2B5EF4-FFF2-40B4-BE49-F238E27FC236}">
              <a16:creationId xmlns:a16="http://schemas.microsoft.com/office/drawing/2014/main" id="{00000000-0008-0000-0000-00005B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24" name="TextBox 3923">
          <a:extLst>
            <a:ext uri="{FF2B5EF4-FFF2-40B4-BE49-F238E27FC236}">
              <a16:creationId xmlns:a16="http://schemas.microsoft.com/office/drawing/2014/main" id="{00000000-0008-0000-0000-00005C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25" name="TextBox 3924">
          <a:extLst>
            <a:ext uri="{FF2B5EF4-FFF2-40B4-BE49-F238E27FC236}">
              <a16:creationId xmlns:a16="http://schemas.microsoft.com/office/drawing/2014/main" id="{00000000-0008-0000-0000-00005D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26" name="TextBox 3925">
          <a:extLst>
            <a:ext uri="{FF2B5EF4-FFF2-40B4-BE49-F238E27FC236}">
              <a16:creationId xmlns:a16="http://schemas.microsoft.com/office/drawing/2014/main" id="{00000000-0008-0000-0000-00005E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27" name="TextBox 3926">
          <a:extLst>
            <a:ext uri="{FF2B5EF4-FFF2-40B4-BE49-F238E27FC236}">
              <a16:creationId xmlns:a16="http://schemas.microsoft.com/office/drawing/2014/main" id="{00000000-0008-0000-0000-00005F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28" name="TextBox 3927">
          <a:extLst>
            <a:ext uri="{FF2B5EF4-FFF2-40B4-BE49-F238E27FC236}">
              <a16:creationId xmlns:a16="http://schemas.microsoft.com/office/drawing/2014/main" id="{00000000-0008-0000-0000-000060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29" name="TextBox 3928">
          <a:extLst>
            <a:ext uri="{FF2B5EF4-FFF2-40B4-BE49-F238E27FC236}">
              <a16:creationId xmlns:a16="http://schemas.microsoft.com/office/drawing/2014/main" id="{00000000-0008-0000-0000-000061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30" name="TextBox 3929">
          <a:extLst>
            <a:ext uri="{FF2B5EF4-FFF2-40B4-BE49-F238E27FC236}">
              <a16:creationId xmlns:a16="http://schemas.microsoft.com/office/drawing/2014/main" id="{00000000-0008-0000-0000-000062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31" name="TextBox 3930">
          <a:extLst>
            <a:ext uri="{FF2B5EF4-FFF2-40B4-BE49-F238E27FC236}">
              <a16:creationId xmlns:a16="http://schemas.microsoft.com/office/drawing/2014/main" id="{00000000-0008-0000-0000-000063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32" name="TextBox 3931">
          <a:extLst>
            <a:ext uri="{FF2B5EF4-FFF2-40B4-BE49-F238E27FC236}">
              <a16:creationId xmlns:a16="http://schemas.microsoft.com/office/drawing/2014/main" id="{00000000-0008-0000-0000-000064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33" name="TextBox 3932">
          <a:extLst>
            <a:ext uri="{FF2B5EF4-FFF2-40B4-BE49-F238E27FC236}">
              <a16:creationId xmlns:a16="http://schemas.microsoft.com/office/drawing/2014/main" id="{00000000-0008-0000-0000-000065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34" name="TextBox 3933">
          <a:extLst>
            <a:ext uri="{FF2B5EF4-FFF2-40B4-BE49-F238E27FC236}">
              <a16:creationId xmlns:a16="http://schemas.microsoft.com/office/drawing/2014/main" id="{00000000-0008-0000-0000-000066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35" name="TextBox 3934">
          <a:extLst>
            <a:ext uri="{FF2B5EF4-FFF2-40B4-BE49-F238E27FC236}">
              <a16:creationId xmlns:a16="http://schemas.microsoft.com/office/drawing/2014/main" id="{00000000-0008-0000-0000-000067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36" name="TextBox 3935">
          <a:extLst>
            <a:ext uri="{FF2B5EF4-FFF2-40B4-BE49-F238E27FC236}">
              <a16:creationId xmlns:a16="http://schemas.microsoft.com/office/drawing/2014/main" id="{00000000-0008-0000-0000-000068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37" name="TextBox 3936">
          <a:extLst>
            <a:ext uri="{FF2B5EF4-FFF2-40B4-BE49-F238E27FC236}">
              <a16:creationId xmlns:a16="http://schemas.microsoft.com/office/drawing/2014/main" id="{00000000-0008-0000-0000-000069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38" name="TextBox 3937">
          <a:extLst>
            <a:ext uri="{FF2B5EF4-FFF2-40B4-BE49-F238E27FC236}">
              <a16:creationId xmlns:a16="http://schemas.microsoft.com/office/drawing/2014/main" id="{00000000-0008-0000-0000-00006A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39" name="TextBox 3938">
          <a:extLst>
            <a:ext uri="{FF2B5EF4-FFF2-40B4-BE49-F238E27FC236}">
              <a16:creationId xmlns:a16="http://schemas.microsoft.com/office/drawing/2014/main" id="{00000000-0008-0000-0000-00006B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40" name="TextBox 3939">
          <a:extLst>
            <a:ext uri="{FF2B5EF4-FFF2-40B4-BE49-F238E27FC236}">
              <a16:creationId xmlns:a16="http://schemas.microsoft.com/office/drawing/2014/main" id="{00000000-0008-0000-0000-00006C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41" name="TextBox 3940">
          <a:extLst>
            <a:ext uri="{FF2B5EF4-FFF2-40B4-BE49-F238E27FC236}">
              <a16:creationId xmlns:a16="http://schemas.microsoft.com/office/drawing/2014/main" id="{00000000-0008-0000-0000-00006D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42" name="TextBox 3941">
          <a:extLst>
            <a:ext uri="{FF2B5EF4-FFF2-40B4-BE49-F238E27FC236}">
              <a16:creationId xmlns:a16="http://schemas.microsoft.com/office/drawing/2014/main" id="{00000000-0008-0000-0000-00006E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43" name="TextBox 3942">
          <a:extLst>
            <a:ext uri="{FF2B5EF4-FFF2-40B4-BE49-F238E27FC236}">
              <a16:creationId xmlns:a16="http://schemas.microsoft.com/office/drawing/2014/main" id="{00000000-0008-0000-0000-00006F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44" name="TextBox 3943">
          <a:extLst>
            <a:ext uri="{FF2B5EF4-FFF2-40B4-BE49-F238E27FC236}">
              <a16:creationId xmlns:a16="http://schemas.microsoft.com/office/drawing/2014/main" id="{00000000-0008-0000-0000-000070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45" name="TextBox 3944">
          <a:extLst>
            <a:ext uri="{FF2B5EF4-FFF2-40B4-BE49-F238E27FC236}">
              <a16:creationId xmlns:a16="http://schemas.microsoft.com/office/drawing/2014/main" id="{00000000-0008-0000-0000-000071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46" name="TextBox 3945">
          <a:extLst>
            <a:ext uri="{FF2B5EF4-FFF2-40B4-BE49-F238E27FC236}">
              <a16:creationId xmlns:a16="http://schemas.microsoft.com/office/drawing/2014/main" id="{00000000-0008-0000-0000-000072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47" name="TextBox 3946">
          <a:extLst>
            <a:ext uri="{FF2B5EF4-FFF2-40B4-BE49-F238E27FC236}">
              <a16:creationId xmlns:a16="http://schemas.microsoft.com/office/drawing/2014/main" id="{00000000-0008-0000-0000-000073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48" name="TextBox 3947">
          <a:extLst>
            <a:ext uri="{FF2B5EF4-FFF2-40B4-BE49-F238E27FC236}">
              <a16:creationId xmlns:a16="http://schemas.microsoft.com/office/drawing/2014/main" id="{00000000-0008-0000-0000-000074000000}"/>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49" name="TextBox 3948">
          <a:extLst>
            <a:ext uri="{FF2B5EF4-FFF2-40B4-BE49-F238E27FC236}">
              <a16:creationId xmlns:a16="http://schemas.microsoft.com/office/drawing/2014/main" id="{00000000-0008-0000-0000-000075000000}"/>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50" name="TextBox 3949">
          <a:extLst>
            <a:ext uri="{FF2B5EF4-FFF2-40B4-BE49-F238E27FC236}">
              <a16:creationId xmlns:a16="http://schemas.microsoft.com/office/drawing/2014/main" id="{00000000-0008-0000-0000-000076000000}"/>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51" name="TextBox 3950">
          <a:extLst>
            <a:ext uri="{FF2B5EF4-FFF2-40B4-BE49-F238E27FC236}">
              <a16:creationId xmlns:a16="http://schemas.microsoft.com/office/drawing/2014/main" id="{00000000-0008-0000-0000-000077000000}"/>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52" name="TextBox 3951">
          <a:extLst>
            <a:ext uri="{FF2B5EF4-FFF2-40B4-BE49-F238E27FC236}">
              <a16:creationId xmlns:a16="http://schemas.microsoft.com/office/drawing/2014/main" id="{00000000-0008-0000-0000-000078000000}"/>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53" name="TextBox 3952">
          <a:extLst>
            <a:ext uri="{FF2B5EF4-FFF2-40B4-BE49-F238E27FC236}">
              <a16:creationId xmlns:a16="http://schemas.microsoft.com/office/drawing/2014/main" id="{00000000-0008-0000-0000-000079000000}"/>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54" name="TextBox 3953">
          <a:extLst>
            <a:ext uri="{FF2B5EF4-FFF2-40B4-BE49-F238E27FC236}">
              <a16:creationId xmlns:a16="http://schemas.microsoft.com/office/drawing/2014/main" id="{00000000-0008-0000-0000-00007A000000}"/>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55" name="TextBox 3954">
          <a:extLst>
            <a:ext uri="{FF2B5EF4-FFF2-40B4-BE49-F238E27FC236}">
              <a16:creationId xmlns:a16="http://schemas.microsoft.com/office/drawing/2014/main" id="{00000000-0008-0000-0000-00007B000000}"/>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56" name="TextBox 3955">
          <a:extLst>
            <a:ext uri="{FF2B5EF4-FFF2-40B4-BE49-F238E27FC236}">
              <a16:creationId xmlns:a16="http://schemas.microsoft.com/office/drawing/2014/main" id="{00000000-0008-0000-0000-00007C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57" name="TextBox 3956">
          <a:extLst>
            <a:ext uri="{FF2B5EF4-FFF2-40B4-BE49-F238E27FC236}">
              <a16:creationId xmlns:a16="http://schemas.microsoft.com/office/drawing/2014/main" id="{00000000-0008-0000-0000-00007D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58" name="TextBox 3957">
          <a:extLst>
            <a:ext uri="{FF2B5EF4-FFF2-40B4-BE49-F238E27FC236}">
              <a16:creationId xmlns:a16="http://schemas.microsoft.com/office/drawing/2014/main" id="{00000000-0008-0000-0000-00007E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3959" name="TextBox 3958">
          <a:extLst>
            <a:ext uri="{FF2B5EF4-FFF2-40B4-BE49-F238E27FC236}">
              <a16:creationId xmlns:a16="http://schemas.microsoft.com/office/drawing/2014/main" id="{00000000-0008-0000-0000-00007F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60" name="TextBox 3959">
          <a:extLst>
            <a:ext uri="{FF2B5EF4-FFF2-40B4-BE49-F238E27FC236}">
              <a16:creationId xmlns:a16="http://schemas.microsoft.com/office/drawing/2014/main" id="{00000000-0008-0000-0000-000080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61" name="TextBox 3960">
          <a:extLst>
            <a:ext uri="{FF2B5EF4-FFF2-40B4-BE49-F238E27FC236}">
              <a16:creationId xmlns:a16="http://schemas.microsoft.com/office/drawing/2014/main" id="{00000000-0008-0000-0000-000081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62" name="TextBox 3961">
          <a:extLst>
            <a:ext uri="{FF2B5EF4-FFF2-40B4-BE49-F238E27FC236}">
              <a16:creationId xmlns:a16="http://schemas.microsoft.com/office/drawing/2014/main" id="{00000000-0008-0000-0000-000082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63" name="TextBox 3962">
          <a:extLst>
            <a:ext uri="{FF2B5EF4-FFF2-40B4-BE49-F238E27FC236}">
              <a16:creationId xmlns:a16="http://schemas.microsoft.com/office/drawing/2014/main" id="{00000000-0008-0000-0000-000083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64" name="TextBox 3963">
          <a:extLst>
            <a:ext uri="{FF2B5EF4-FFF2-40B4-BE49-F238E27FC236}">
              <a16:creationId xmlns:a16="http://schemas.microsoft.com/office/drawing/2014/main" id="{00000000-0008-0000-0000-000084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65" name="TextBox 3964">
          <a:extLst>
            <a:ext uri="{FF2B5EF4-FFF2-40B4-BE49-F238E27FC236}">
              <a16:creationId xmlns:a16="http://schemas.microsoft.com/office/drawing/2014/main" id="{00000000-0008-0000-0000-000085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66" name="TextBox 3965">
          <a:extLst>
            <a:ext uri="{FF2B5EF4-FFF2-40B4-BE49-F238E27FC236}">
              <a16:creationId xmlns:a16="http://schemas.microsoft.com/office/drawing/2014/main" id="{00000000-0008-0000-0000-000086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67" name="TextBox 3966">
          <a:extLst>
            <a:ext uri="{FF2B5EF4-FFF2-40B4-BE49-F238E27FC236}">
              <a16:creationId xmlns:a16="http://schemas.microsoft.com/office/drawing/2014/main" id="{00000000-0008-0000-0000-000087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68" name="TextBox 3967">
          <a:extLst>
            <a:ext uri="{FF2B5EF4-FFF2-40B4-BE49-F238E27FC236}">
              <a16:creationId xmlns:a16="http://schemas.microsoft.com/office/drawing/2014/main" id="{00000000-0008-0000-0000-000088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69" name="TextBox 3968">
          <a:extLst>
            <a:ext uri="{FF2B5EF4-FFF2-40B4-BE49-F238E27FC236}">
              <a16:creationId xmlns:a16="http://schemas.microsoft.com/office/drawing/2014/main" id="{00000000-0008-0000-0000-000089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70" name="TextBox 3969">
          <a:extLst>
            <a:ext uri="{FF2B5EF4-FFF2-40B4-BE49-F238E27FC236}">
              <a16:creationId xmlns:a16="http://schemas.microsoft.com/office/drawing/2014/main" id="{00000000-0008-0000-0000-00008A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3971" name="TextBox 3970">
          <a:extLst>
            <a:ext uri="{FF2B5EF4-FFF2-40B4-BE49-F238E27FC236}">
              <a16:creationId xmlns:a16="http://schemas.microsoft.com/office/drawing/2014/main" id="{00000000-0008-0000-0000-00008B000000}"/>
            </a:ext>
          </a:extLst>
        </xdr:cNvPr>
        <xdr:cNvSpPr txBox="1"/>
      </xdr:nvSpPr>
      <xdr:spPr>
        <a:xfrm>
          <a:off x="826770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72" name="TextBox 3971">
          <a:extLst>
            <a:ext uri="{FF2B5EF4-FFF2-40B4-BE49-F238E27FC236}">
              <a16:creationId xmlns:a16="http://schemas.microsoft.com/office/drawing/2014/main" id="{00000000-0008-0000-0000-00008C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73" name="TextBox 3972">
          <a:extLst>
            <a:ext uri="{FF2B5EF4-FFF2-40B4-BE49-F238E27FC236}">
              <a16:creationId xmlns:a16="http://schemas.microsoft.com/office/drawing/2014/main" id="{00000000-0008-0000-0000-00008D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74" name="TextBox 3973">
          <a:extLst>
            <a:ext uri="{FF2B5EF4-FFF2-40B4-BE49-F238E27FC236}">
              <a16:creationId xmlns:a16="http://schemas.microsoft.com/office/drawing/2014/main" id="{00000000-0008-0000-0000-00008E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75" name="TextBox 3974">
          <a:extLst>
            <a:ext uri="{FF2B5EF4-FFF2-40B4-BE49-F238E27FC236}">
              <a16:creationId xmlns:a16="http://schemas.microsoft.com/office/drawing/2014/main" id="{00000000-0008-0000-0000-00008F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76" name="TextBox 3975">
          <a:extLst>
            <a:ext uri="{FF2B5EF4-FFF2-40B4-BE49-F238E27FC236}">
              <a16:creationId xmlns:a16="http://schemas.microsoft.com/office/drawing/2014/main" id="{00000000-0008-0000-0000-000090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77" name="TextBox 3976">
          <a:extLst>
            <a:ext uri="{FF2B5EF4-FFF2-40B4-BE49-F238E27FC236}">
              <a16:creationId xmlns:a16="http://schemas.microsoft.com/office/drawing/2014/main" id="{00000000-0008-0000-0000-000091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3978" name="TextBox 3977">
          <a:extLst>
            <a:ext uri="{FF2B5EF4-FFF2-40B4-BE49-F238E27FC236}">
              <a16:creationId xmlns:a16="http://schemas.microsoft.com/office/drawing/2014/main" id="{00000000-0008-0000-0000-000092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77" name="TextBox 4476">
          <a:extLst>
            <a:ext uri="{FF2B5EF4-FFF2-40B4-BE49-F238E27FC236}">
              <a16:creationId xmlns:a16="http://schemas.microsoft.com/office/drawing/2014/main" id="{00000000-0008-0000-0000-000093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78" name="TextBox 4477">
          <a:extLst>
            <a:ext uri="{FF2B5EF4-FFF2-40B4-BE49-F238E27FC236}">
              <a16:creationId xmlns:a16="http://schemas.microsoft.com/office/drawing/2014/main" id="{00000000-0008-0000-0000-000094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79" name="TextBox 4478">
          <a:extLst>
            <a:ext uri="{FF2B5EF4-FFF2-40B4-BE49-F238E27FC236}">
              <a16:creationId xmlns:a16="http://schemas.microsoft.com/office/drawing/2014/main" id="{00000000-0008-0000-0000-000095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80" name="TextBox 4479">
          <a:extLst>
            <a:ext uri="{FF2B5EF4-FFF2-40B4-BE49-F238E27FC236}">
              <a16:creationId xmlns:a16="http://schemas.microsoft.com/office/drawing/2014/main" id="{00000000-0008-0000-0000-000096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81" name="TextBox 4480">
          <a:extLst>
            <a:ext uri="{FF2B5EF4-FFF2-40B4-BE49-F238E27FC236}">
              <a16:creationId xmlns:a16="http://schemas.microsoft.com/office/drawing/2014/main" id="{00000000-0008-0000-0000-000097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82" name="TextBox 4481">
          <a:extLst>
            <a:ext uri="{FF2B5EF4-FFF2-40B4-BE49-F238E27FC236}">
              <a16:creationId xmlns:a16="http://schemas.microsoft.com/office/drawing/2014/main" id="{00000000-0008-0000-0000-000098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83" name="TextBox 4482">
          <a:extLst>
            <a:ext uri="{FF2B5EF4-FFF2-40B4-BE49-F238E27FC236}">
              <a16:creationId xmlns:a16="http://schemas.microsoft.com/office/drawing/2014/main" id="{00000000-0008-0000-0000-000099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84" name="TextBox 4483">
          <a:extLst>
            <a:ext uri="{FF2B5EF4-FFF2-40B4-BE49-F238E27FC236}">
              <a16:creationId xmlns:a16="http://schemas.microsoft.com/office/drawing/2014/main" id="{00000000-0008-0000-0000-00009A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85" name="TextBox 4484">
          <a:extLst>
            <a:ext uri="{FF2B5EF4-FFF2-40B4-BE49-F238E27FC236}">
              <a16:creationId xmlns:a16="http://schemas.microsoft.com/office/drawing/2014/main" id="{00000000-0008-0000-0000-00009B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86" name="TextBox 4485">
          <a:extLst>
            <a:ext uri="{FF2B5EF4-FFF2-40B4-BE49-F238E27FC236}">
              <a16:creationId xmlns:a16="http://schemas.microsoft.com/office/drawing/2014/main" id="{00000000-0008-0000-0000-00009C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87" name="TextBox 4486">
          <a:extLst>
            <a:ext uri="{FF2B5EF4-FFF2-40B4-BE49-F238E27FC236}">
              <a16:creationId xmlns:a16="http://schemas.microsoft.com/office/drawing/2014/main" id="{00000000-0008-0000-0000-00009D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88" name="TextBox 4487">
          <a:extLst>
            <a:ext uri="{FF2B5EF4-FFF2-40B4-BE49-F238E27FC236}">
              <a16:creationId xmlns:a16="http://schemas.microsoft.com/office/drawing/2014/main" id="{00000000-0008-0000-0000-00009E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89" name="TextBox 4488">
          <a:extLst>
            <a:ext uri="{FF2B5EF4-FFF2-40B4-BE49-F238E27FC236}">
              <a16:creationId xmlns:a16="http://schemas.microsoft.com/office/drawing/2014/main" id="{00000000-0008-0000-0000-00009F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90" name="TextBox 4489">
          <a:extLst>
            <a:ext uri="{FF2B5EF4-FFF2-40B4-BE49-F238E27FC236}">
              <a16:creationId xmlns:a16="http://schemas.microsoft.com/office/drawing/2014/main" id="{00000000-0008-0000-0000-0000A0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91" name="TextBox 4490">
          <a:extLst>
            <a:ext uri="{FF2B5EF4-FFF2-40B4-BE49-F238E27FC236}">
              <a16:creationId xmlns:a16="http://schemas.microsoft.com/office/drawing/2014/main" id="{00000000-0008-0000-0000-0000A1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92" name="TextBox 4491">
          <a:extLst>
            <a:ext uri="{FF2B5EF4-FFF2-40B4-BE49-F238E27FC236}">
              <a16:creationId xmlns:a16="http://schemas.microsoft.com/office/drawing/2014/main" id="{00000000-0008-0000-0000-0000A2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93" name="TextBox 4492">
          <a:extLst>
            <a:ext uri="{FF2B5EF4-FFF2-40B4-BE49-F238E27FC236}">
              <a16:creationId xmlns:a16="http://schemas.microsoft.com/office/drawing/2014/main" id="{00000000-0008-0000-0000-0000A3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94" name="TextBox 4493">
          <a:extLst>
            <a:ext uri="{FF2B5EF4-FFF2-40B4-BE49-F238E27FC236}">
              <a16:creationId xmlns:a16="http://schemas.microsoft.com/office/drawing/2014/main" id="{00000000-0008-0000-0000-0000A4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95" name="TextBox 4494">
          <a:extLst>
            <a:ext uri="{FF2B5EF4-FFF2-40B4-BE49-F238E27FC236}">
              <a16:creationId xmlns:a16="http://schemas.microsoft.com/office/drawing/2014/main" id="{00000000-0008-0000-0000-0000A5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96" name="TextBox 4495">
          <a:extLst>
            <a:ext uri="{FF2B5EF4-FFF2-40B4-BE49-F238E27FC236}">
              <a16:creationId xmlns:a16="http://schemas.microsoft.com/office/drawing/2014/main" id="{00000000-0008-0000-0000-0000A6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97" name="TextBox 4496">
          <a:extLst>
            <a:ext uri="{FF2B5EF4-FFF2-40B4-BE49-F238E27FC236}">
              <a16:creationId xmlns:a16="http://schemas.microsoft.com/office/drawing/2014/main" id="{00000000-0008-0000-0000-0000A7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98" name="TextBox 4497">
          <a:extLst>
            <a:ext uri="{FF2B5EF4-FFF2-40B4-BE49-F238E27FC236}">
              <a16:creationId xmlns:a16="http://schemas.microsoft.com/office/drawing/2014/main" id="{00000000-0008-0000-0000-0000A8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499" name="TextBox 4498">
          <a:extLst>
            <a:ext uri="{FF2B5EF4-FFF2-40B4-BE49-F238E27FC236}">
              <a16:creationId xmlns:a16="http://schemas.microsoft.com/office/drawing/2014/main" id="{00000000-0008-0000-0000-0000A9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00" name="TextBox 4499">
          <a:extLst>
            <a:ext uri="{FF2B5EF4-FFF2-40B4-BE49-F238E27FC236}">
              <a16:creationId xmlns:a16="http://schemas.microsoft.com/office/drawing/2014/main" id="{00000000-0008-0000-0000-0000AA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01" name="TextBox 4500">
          <a:extLst>
            <a:ext uri="{FF2B5EF4-FFF2-40B4-BE49-F238E27FC236}">
              <a16:creationId xmlns:a16="http://schemas.microsoft.com/office/drawing/2014/main" id="{00000000-0008-0000-0000-0000AB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02" name="TextBox 4501">
          <a:extLst>
            <a:ext uri="{FF2B5EF4-FFF2-40B4-BE49-F238E27FC236}">
              <a16:creationId xmlns:a16="http://schemas.microsoft.com/office/drawing/2014/main" id="{00000000-0008-0000-0000-0000AC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03" name="TextBox 4502">
          <a:extLst>
            <a:ext uri="{FF2B5EF4-FFF2-40B4-BE49-F238E27FC236}">
              <a16:creationId xmlns:a16="http://schemas.microsoft.com/office/drawing/2014/main" id="{00000000-0008-0000-0000-0000AD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04" name="TextBox 4503">
          <a:extLst>
            <a:ext uri="{FF2B5EF4-FFF2-40B4-BE49-F238E27FC236}">
              <a16:creationId xmlns:a16="http://schemas.microsoft.com/office/drawing/2014/main" id="{00000000-0008-0000-0000-0000AE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05" name="TextBox 4504">
          <a:extLst>
            <a:ext uri="{FF2B5EF4-FFF2-40B4-BE49-F238E27FC236}">
              <a16:creationId xmlns:a16="http://schemas.microsoft.com/office/drawing/2014/main" id="{00000000-0008-0000-0000-0000AF000000}"/>
            </a:ext>
          </a:extLst>
        </xdr:cNvPr>
        <xdr:cNvSpPr txBox="1"/>
      </xdr:nvSpPr>
      <xdr:spPr>
        <a:xfrm>
          <a:off x="826770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06" name="TextBox 4505">
          <a:extLst>
            <a:ext uri="{FF2B5EF4-FFF2-40B4-BE49-F238E27FC236}">
              <a16:creationId xmlns:a16="http://schemas.microsoft.com/office/drawing/2014/main" id="{00000000-0008-0000-0000-0000B000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07" name="TextBox 4506">
          <a:extLst>
            <a:ext uri="{FF2B5EF4-FFF2-40B4-BE49-F238E27FC236}">
              <a16:creationId xmlns:a16="http://schemas.microsoft.com/office/drawing/2014/main" id="{00000000-0008-0000-0000-0000B100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08" name="TextBox 4507">
          <a:extLst>
            <a:ext uri="{FF2B5EF4-FFF2-40B4-BE49-F238E27FC236}">
              <a16:creationId xmlns:a16="http://schemas.microsoft.com/office/drawing/2014/main" id="{00000000-0008-0000-0000-0000B200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09" name="TextBox 4508">
          <a:extLst>
            <a:ext uri="{FF2B5EF4-FFF2-40B4-BE49-F238E27FC236}">
              <a16:creationId xmlns:a16="http://schemas.microsoft.com/office/drawing/2014/main" id="{00000000-0008-0000-0000-0000B300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10" name="TextBox 4509">
          <a:extLst>
            <a:ext uri="{FF2B5EF4-FFF2-40B4-BE49-F238E27FC236}">
              <a16:creationId xmlns:a16="http://schemas.microsoft.com/office/drawing/2014/main" id="{00000000-0008-0000-0000-0000B400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11" name="TextBox 4510">
          <a:extLst>
            <a:ext uri="{FF2B5EF4-FFF2-40B4-BE49-F238E27FC236}">
              <a16:creationId xmlns:a16="http://schemas.microsoft.com/office/drawing/2014/main" id="{00000000-0008-0000-0000-0000B500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12" name="TextBox 4511">
          <a:extLst>
            <a:ext uri="{FF2B5EF4-FFF2-40B4-BE49-F238E27FC236}">
              <a16:creationId xmlns:a16="http://schemas.microsoft.com/office/drawing/2014/main" id="{00000000-0008-0000-0000-0000B600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513" name="TextBox 4512">
          <a:extLst>
            <a:ext uri="{FF2B5EF4-FFF2-40B4-BE49-F238E27FC236}">
              <a16:creationId xmlns:a16="http://schemas.microsoft.com/office/drawing/2014/main" id="{00000000-0008-0000-0000-0000B700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14" name="TextBox 4513">
          <a:extLst>
            <a:ext uri="{FF2B5EF4-FFF2-40B4-BE49-F238E27FC236}">
              <a16:creationId xmlns:a16="http://schemas.microsoft.com/office/drawing/2014/main" id="{00000000-0008-0000-0000-0000B8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15" name="TextBox 4514">
          <a:extLst>
            <a:ext uri="{FF2B5EF4-FFF2-40B4-BE49-F238E27FC236}">
              <a16:creationId xmlns:a16="http://schemas.microsoft.com/office/drawing/2014/main" id="{00000000-0008-0000-0000-0000B9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16" name="TextBox 4515">
          <a:extLst>
            <a:ext uri="{FF2B5EF4-FFF2-40B4-BE49-F238E27FC236}">
              <a16:creationId xmlns:a16="http://schemas.microsoft.com/office/drawing/2014/main" id="{00000000-0008-0000-0000-0000BA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17" name="TextBox 4516">
          <a:extLst>
            <a:ext uri="{FF2B5EF4-FFF2-40B4-BE49-F238E27FC236}">
              <a16:creationId xmlns:a16="http://schemas.microsoft.com/office/drawing/2014/main" id="{00000000-0008-0000-0000-0000BB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18" name="TextBox 4517">
          <a:extLst>
            <a:ext uri="{FF2B5EF4-FFF2-40B4-BE49-F238E27FC236}">
              <a16:creationId xmlns:a16="http://schemas.microsoft.com/office/drawing/2014/main" id="{00000000-0008-0000-0000-0000BC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19" name="TextBox 4518">
          <a:extLst>
            <a:ext uri="{FF2B5EF4-FFF2-40B4-BE49-F238E27FC236}">
              <a16:creationId xmlns:a16="http://schemas.microsoft.com/office/drawing/2014/main" id="{00000000-0008-0000-0000-0000BD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20" name="TextBox 4519">
          <a:extLst>
            <a:ext uri="{FF2B5EF4-FFF2-40B4-BE49-F238E27FC236}">
              <a16:creationId xmlns:a16="http://schemas.microsoft.com/office/drawing/2014/main" id="{00000000-0008-0000-0000-0000BE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21" name="TextBox 4520">
          <a:extLst>
            <a:ext uri="{FF2B5EF4-FFF2-40B4-BE49-F238E27FC236}">
              <a16:creationId xmlns:a16="http://schemas.microsoft.com/office/drawing/2014/main" id="{00000000-0008-0000-0000-0000BF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22" name="TextBox 4521">
          <a:extLst>
            <a:ext uri="{FF2B5EF4-FFF2-40B4-BE49-F238E27FC236}">
              <a16:creationId xmlns:a16="http://schemas.microsoft.com/office/drawing/2014/main" id="{00000000-0008-0000-0000-0000C0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23" name="TextBox 4522">
          <a:extLst>
            <a:ext uri="{FF2B5EF4-FFF2-40B4-BE49-F238E27FC236}">
              <a16:creationId xmlns:a16="http://schemas.microsoft.com/office/drawing/2014/main" id="{00000000-0008-0000-0000-0000C1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24" name="TextBox 4523">
          <a:extLst>
            <a:ext uri="{FF2B5EF4-FFF2-40B4-BE49-F238E27FC236}">
              <a16:creationId xmlns:a16="http://schemas.microsoft.com/office/drawing/2014/main" id="{00000000-0008-0000-0000-0000C2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25" name="TextBox 4524">
          <a:extLst>
            <a:ext uri="{FF2B5EF4-FFF2-40B4-BE49-F238E27FC236}">
              <a16:creationId xmlns:a16="http://schemas.microsoft.com/office/drawing/2014/main" id="{00000000-0008-0000-0000-0000C3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26" name="TextBox 4525">
          <a:extLst>
            <a:ext uri="{FF2B5EF4-FFF2-40B4-BE49-F238E27FC236}">
              <a16:creationId xmlns:a16="http://schemas.microsoft.com/office/drawing/2014/main" id="{00000000-0008-0000-0000-0000C4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27" name="TextBox 4526">
          <a:extLst>
            <a:ext uri="{FF2B5EF4-FFF2-40B4-BE49-F238E27FC236}">
              <a16:creationId xmlns:a16="http://schemas.microsoft.com/office/drawing/2014/main" id="{00000000-0008-0000-0000-0000C5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28" name="TextBox 4527">
          <a:extLst>
            <a:ext uri="{FF2B5EF4-FFF2-40B4-BE49-F238E27FC236}">
              <a16:creationId xmlns:a16="http://schemas.microsoft.com/office/drawing/2014/main" id="{00000000-0008-0000-0000-0000C6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29" name="TextBox 4528">
          <a:extLst>
            <a:ext uri="{FF2B5EF4-FFF2-40B4-BE49-F238E27FC236}">
              <a16:creationId xmlns:a16="http://schemas.microsoft.com/office/drawing/2014/main" id="{00000000-0008-0000-0000-0000C7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30" name="TextBox 4529">
          <a:extLst>
            <a:ext uri="{FF2B5EF4-FFF2-40B4-BE49-F238E27FC236}">
              <a16:creationId xmlns:a16="http://schemas.microsoft.com/office/drawing/2014/main" id="{00000000-0008-0000-0000-0000C8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31" name="TextBox 4530">
          <a:extLst>
            <a:ext uri="{FF2B5EF4-FFF2-40B4-BE49-F238E27FC236}">
              <a16:creationId xmlns:a16="http://schemas.microsoft.com/office/drawing/2014/main" id="{00000000-0008-0000-0000-0000C9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32" name="TextBox 4531">
          <a:extLst>
            <a:ext uri="{FF2B5EF4-FFF2-40B4-BE49-F238E27FC236}">
              <a16:creationId xmlns:a16="http://schemas.microsoft.com/office/drawing/2014/main" id="{00000000-0008-0000-0000-0000CA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33" name="TextBox 4532">
          <a:extLst>
            <a:ext uri="{FF2B5EF4-FFF2-40B4-BE49-F238E27FC236}">
              <a16:creationId xmlns:a16="http://schemas.microsoft.com/office/drawing/2014/main" id="{00000000-0008-0000-0000-0000CB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34" name="TextBox 4533">
          <a:extLst>
            <a:ext uri="{FF2B5EF4-FFF2-40B4-BE49-F238E27FC236}">
              <a16:creationId xmlns:a16="http://schemas.microsoft.com/office/drawing/2014/main" id="{00000000-0008-0000-0000-0000CC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35" name="TextBox 4534">
          <a:extLst>
            <a:ext uri="{FF2B5EF4-FFF2-40B4-BE49-F238E27FC236}">
              <a16:creationId xmlns:a16="http://schemas.microsoft.com/office/drawing/2014/main" id="{00000000-0008-0000-0000-0000CD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36" name="TextBox 4535">
          <a:extLst>
            <a:ext uri="{FF2B5EF4-FFF2-40B4-BE49-F238E27FC236}">
              <a16:creationId xmlns:a16="http://schemas.microsoft.com/office/drawing/2014/main" id="{00000000-0008-0000-0000-0000CE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37" name="TextBox 4536">
          <a:extLst>
            <a:ext uri="{FF2B5EF4-FFF2-40B4-BE49-F238E27FC236}">
              <a16:creationId xmlns:a16="http://schemas.microsoft.com/office/drawing/2014/main" id="{00000000-0008-0000-0000-0000CF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38" name="TextBox 4537">
          <a:extLst>
            <a:ext uri="{FF2B5EF4-FFF2-40B4-BE49-F238E27FC236}">
              <a16:creationId xmlns:a16="http://schemas.microsoft.com/office/drawing/2014/main" id="{00000000-0008-0000-0000-0000D0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39" name="TextBox 4538">
          <a:extLst>
            <a:ext uri="{FF2B5EF4-FFF2-40B4-BE49-F238E27FC236}">
              <a16:creationId xmlns:a16="http://schemas.microsoft.com/office/drawing/2014/main" id="{00000000-0008-0000-0000-0000D1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40" name="TextBox 4539">
          <a:extLst>
            <a:ext uri="{FF2B5EF4-FFF2-40B4-BE49-F238E27FC236}">
              <a16:creationId xmlns:a16="http://schemas.microsoft.com/office/drawing/2014/main" id="{00000000-0008-0000-0000-0000D2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41" name="TextBox 4540">
          <a:extLst>
            <a:ext uri="{FF2B5EF4-FFF2-40B4-BE49-F238E27FC236}">
              <a16:creationId xmlns:a16="http://schemas.microsoft.com/office/drawing/2014/main" id="{00000000-0008-0000-0000-0000D3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42" name="TextBox 4541">
          <a:extLst>
            <a:ext uri="{FF2B5EF4-FFF2-40B4-BE49-F238E27FC236}">
              <a16:creationId xmlns:a16="http://schemas.microsoft.com/office/drawing/2014/main" id="{00000000-0008-0000-0000-0000D4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43" name="TextBox 4542">
          <a:extLst>
            <a:ext uri="{FF2B5EF4-FFF2-40B4-BE49-F238E27FC236}">
              <a16:creationId xmlns:a16="http://schemas.microsoft.com/office/drawing/2014/main" id="{00000000-0008-0000-0000-0000D5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44" name="TextBox 4543">
          <a:extLst>
            <a:ext uri="{FF2B5EF4-FFF2-40B4-BE49-F238E27FC236}">
              <a16:creationId xmlns:a16="http://schemas.microsoft.com/office/drawing/2014/main" id="{00000000-0008-0000-0000-0000D6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45" name="TextBox 4544">
          <a:extLst>
            <a:ext uri="{FF2B5EF4-FFF2-40B4-BE49-F238E27FC236}">
              <a16:creationId xmlns:a16="http://schemas.microsoft.com/office/drawing/2014/main" id="{00000000-0008-0000-0000-0000D7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46" name="TextBox 4545">
          <a:extLst>
            <a:ext uri="{FF2B5EF4-FFF2-40B4-BE49-F238E27FC236}">
              <a16:creationId xmlns:a16="http://schemas.microsoft.com/office/drawing/2014/main" id="{00000000-0008-0000-0000-0000D8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47" name="TextBox 4546">
          <a:extLst>
            <a:ext uri="{FF2B5EF4-FFF2-40B4-BE49-F238E27FC236}">
              <a16:creationId xmlns:a16="http://schemas.microsoft.com/office/drawing/2014/main" id="{00000000-0008-0000-0000-0000D9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48" name="TextBox 4547">
          <a:extLst>
            <a:ext uri="{FF2B5EF4-FFF2-40B4-BE49-F238E27FC236}">
              <a16:creationId xmlns:a16="http://schemas.microsoft.com/office/drawing/2014/main" id="{00000000-0008-0000-0000-0000DA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49" name="TextBox 4548">
          <a:extLst>
            <a:ext uri="{FF2B5EF4-FFF2-40B4-BE49-F238E27FC236}">
              <a16:creationId xmlns:a16="http://schemas.microsoft.com/office/drawing/2014/main" id="{00000000-0008-0000-0000-0000DB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50" name="TextBox 4549">
          <a:extLst>
            <a:ext uri="{FF2B5EF4-FFF2-40B4-BE49-F238E27FC236}">
              <a16:creationId xmlns:a16="http://schemas.microsoft.com/office/drawing/2014/main" id="{00000000-0008-0000-0000-0000DC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51" name="TextBox 4550">
          <a:extLst>
            <a:ext uri="{FF2B5EF4-FFF2-40B4-BE49-F238E27FC236}">
              <a16:creationId xmlns:a16="http://schemas.microsoft.com/office/drawing/2014/main" id="{00000000-0008-0000-0000-0000DD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52" name="TextBox 4551">
          <a:extLst>
            <a:ext uri="{FF2B5EF4-FFF2-40B4-BE49-F238E27FC236}">
              <a16:creationId xmlns:a16="http://schemas.microsoft.com/office/drawing/2014/main" id="{00000000-0008-0000-0000-0000DE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53" name="TextBox 4552">
          <a:extLst>
            <a:ext uri="{FF2B5EF4-FFF2-40B4-BE49-F238E27FC236}">
              <a16:creationId xmlns:a16="http://schemas.microsoft.com/office/drawing/2014/main" id="{00000000-0008-0000-0000-0000DF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54" name="TextBox 4553">
          <a:extLst>
            <a:ext uri="{FF2B5EF4-FFF2-40B4-BE49-F238E27FC236}">
              <a16:creationId xmlns:a16="http://schemas.microsoft.com/office/drawing/2014/main" id="{00000000-0008-0000-0000-0000E0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55" name="TextBox 4554">
          <a:extLst>
            <a:ext uri="{FF2B5EF4-FFF2-40B4-BE49-F238E27FC236}">
              <a16:creationId xmlns:a16="http://schemas.microsoft.com/office/drawing/2014/main" id="{00000000-0008-0000-0000-0000E1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56" name="TextBox 4555">
          <a:extLst>
            <a:ext uri="{FF2B5EF4-FFF2-40B4-BE49-F238E27FC236}">
              <a16:creationId xmlns:a16="http://schemas.microsoft.com/office/drawing/2014/main" id="{00000000-0008-0000-0000-0000E2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57" name="TextBox 4556">
          <a:extLst>
            <a:ext uri="{FF2B5EF4-FFF2-40B4-BE49-F238E27FC236}">
              <a16:creationId xmlns:a16="http://schemas.microsoft.com/office/drawing/2014/main" id="{00000000-0008-0000-0000-0000E3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58" name="TextBox 4557">
          <a:extLst>
            <a:ext uri="{FF2B5EF4-FFF2-40B4-BE49-F238E27FC236}">
              <a16:creationId xmlns:a16="http://schemas.microsoft.com/office/drawing/2014/main" id="{00000000-0008-0000-0000-0000E4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59" name="TextBox 4558">
          <a:extLst>
            <a:ext uri="{FF2B5EF4-FFF2-40B4-BE49-F238E27FC236}">
              <a16:creationId xmlns:a16="http://schemas.microsoft.com/office/drawing/2014/main" id="{00000000-0008-0000-0000-0000E5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60" name="TextBox 4559">
          <a:extLst>
            <a:ext uri="{FF2B5EF4-FFF2-40B4-BE49-F238E27FC236}">
              <a16:creationId xmlns:a16="http://schemas.microsoft.com/office/drawing/2014/main" id="{00000000-0008-0000-0000-0000E6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61" name="TextBox 4560">
          <a:extLst>
            <a:ext uri="{FF2B5EF4-FFF2-40B4-BE49-F238E27FC236}">
              <a16:creationId xmlns:a16="http://schemas.microsoft.com/office/drawing/2014/main" id="{00000000-0008-0000-0000-0000E7000000}"/>
            </a:ext>
          </a:extLst>
        </xdr:cNvPr>
        <xdr:cNvSpPr txBox="1"/>
      </xdr:nvSpPr>
      <xdr:spPr>
        <a:xfrm>
          <a:off x="826770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62" name="TextBox 4561">
          <a:extLst>
            <a:ext uri="{FF2B5EF4-FFF2-40B4-BE49-F238E27FC236}">
              <a16:creationId xmlns:a16="http://schemas.microsoft.com/office/drawing/2014/main" id="{00000000-0008-0000-0000-0000E8000000}"/>
            </a:ext>
          </a:extLst>
        </xdr:cNvPr>
        <xdr:cNvSpPr txBox="1"/>
      </xdr:nvSpPr>
      <xdr:spPr>
        <a:xfrm>
          <a:off x="1258062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63" name="TextBox 4562">
          <a:extLst>
            <a:ext uri="{FF2B5EF4-FFF2-40B4-BE49-F238E27FC236}">
              <a16:creationId xmlns:a16="http://schemas.microsoft.com/office/drawing/2014/main" id="{00000000-0008-0000-0000-0000E9000000}"/>
            </a:ext>
          </a:extLst>
        </xdr:cNvPr>
        <xdr:cNvSpPr txBox="1"/>
      </xdr:nvSpPr>
      <xdr:spPr>
        <a:xfrm>
          <a:off x="1258062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64" name="TextBox 4563">
          <a:extLst>
            <a:ext uri="{FF2B5EF4-FFF2-40B4-BE49-F238E27FC236}">
              <a16:creationId xmlns:a16="http://schemas.microsoft.com/office/drawing/2014/main" id="{00000000-0008-0000-0000-0000EA000000}"/>
            </a:ext>
          </a:extLst>
        </xdr:cNvPr>
        <xdr:cNvSpPr txBox="1"/>
      </xdr:nvSpPr>
      <xdr:spPr>
        <a:xfrm>
          <a:off x="1258062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65" name="TextBox 4564">
          <a:extLst>
            <a:ext uri="{FF2B5EF4-FFF2-40B4-BE49-F238E27FC236}">
              <a16:creationId xmlns:a16="http://schemas.microsoft.com/office/drawing/2014/main" id="{00000000-0008-0000-0000-0000EB000000}"/>
            </a:ext>
          </a:extLst>
        </xdr:cNvPr>
        <xdr:cNvSpPr txBox="1"/>
      </xdr:nvSpPr>
      <xdr:spPr>
        <a:xfrm>
          <a:off x="1258062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66" name="TextBox 4565">
          <a:extLst>
            <a:ext uri="{FF2B5EF4-FFF2-40B4-BE49-F238E27FC236}">
              <a16:creationId xmlns:a16="http://schemas.microsoft.com/office/drawing/2014/main" id="{00000000-0008-0000-0000-0000EC000000}"/>
            </a:ext>
          </a:extLst>
        </xdr:cNvPr>
        <xdr:cNvSpPr txBox="1"/>
      </xdr:nvSpPr>
      <xdr:spPr>
        <a:xfrm>
          <a:off x="1258062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67" name="TextBox 4566">
          <a:extLst>
            <a:ext uri="{FF2B5EF4-FFF2-40B4-BE49-F238E27FC236}">
              <a16:creationId xmlns:a16="http://schemas.microsoft.com/office/drawing/2014/main" id="{00000000-0008-0000-0000-0000ED000000}"/>
            </a:ext>
          </a:extLst>
        </xdr:cNvPr>
        <xdr:cNvSpPr txBox="1"/>
      </xdr:nvSpPr>
      <xdr:spPr>
        <a:xfrm>
          <a:off x="1258062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68" name="TextBox 4567">
          <a:extLst>
            <a:ext uri="{FF2B5EF4-FFF2-40B4-BE49-F238E27FC236}">
              <a16:creationId xmlns:a16="http://schemas.microsoft.com/office/drawing/2014/main" id="{00000000-0008-0000-0000-0000EE000000}"/>
            </a:ext>
          </a:extLst>
        </xdr:cNvPr>
        <xdr:cNvSpPr txBox="1"/>
      </xdr:nvSpPr>
      <xdr:spPr>
        <a:xfrm>
          <a:off x="1258062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569" name="TextBox 4568">
          <a:extLst>
            <a:ext uri="{FF2B5EF4-FFF2-40B4-BE49-F238E27FC236}">
              <a16:creationId xmlns:a16="http://schemas.microsoft.com/office/drawing/2014/main" id="{00000000-0008-0000-0000-0000EF000000}"/>
            </a:ext>
          </a:extLst>
        </xdr:cNvPr>
        <xdr:cNvSpPr txBox="1"/>
      </xdr:nvSpPr>
      <xdr:spPr>
        <a:xfrm>
          <a:off x="12580620" y="341680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70" name="TextBox 4569">
          <a:extLst>
            <a:ext uri="{FF2B5EF4-FFF2-40B4-BE49-F238E27FC236}">
              <a16:creationId xmlns:a16="http://schemas.microsoft.com/office/drawing/2014/main" id="{00000000-0008-0000-0000-0000F0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71" name="TextBox 4570">
          <a:extLst>
            <a:ext uri="{FF2B5EF4-FFF2-40B4-BE49-F238E27FC236}">
              <a16:creationId xmlns:a16="http://schemas.microsoft.com/office/drawing/2014/main" id="{00000000-0008-0000-0000-0000F1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72" name="TextBox 4571">
          <a:extLst>
            <a:ext uri="{FF2B5EF4-FFF2-40B4-BE49-F238E27FC236}">
              <a16:creationId xmlns:a16="http://schemas.microsoft.com/office/drawing/2014/main" id="{00000000-0008-0000-0000-0000F2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73" name="TextBox 4572">
          <a:extLst>
            <a:ext uri="{FF2B5EF4-FFF2-40B4-BE49-F238E27FC236}">
              <a16:creationId xmlns:a16="http://schemas.microsoft.com/office/drawing/2014/main" id="{00000000-0008-0000-0000-0000F3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74" name="TextBox 4573">
          <a:extLst>
            <a:ext uri="{FF2B5EF4-FFF2-40B4-BE49-F238E27FC236}">
              <a16:creationId xmlns:a16="http://schemas.microsoft.com/office/drawing/2014/main" id="{00000000-0008-0000-0000-0000F4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75" name="TextBox 4574">
          <a:extLst>
            <a:ext uri="{FF2B5EF4-FFF2-40B4-BE49-F238E27FC236}">
              <a16:creationId xmlns:a16="http://schemas.microsoft.com/office/drawing/2014/main" id="{00000000-0008-0000-0000-0000F5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76" name="TextBox 4575">
          <a:extLst>
            <a:ext uri="{FF2B5EF4-FFF2-40B4-BE49-F238E27FC236}">
              <a16:creationId xmlns:a16="http://schemas.microsoft.com/office/drawing/2014/main" id="{00000000-0008-0000-0000-0000F6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77" name="TextBox 4576">
          <a:extLst>
            <a:ext uri="{FF2B5EF4-FFF2-40B4-BE49-F238E27FC236}">
              <a16:creationId xmlns:a16="http://schemas.microsoft.com/office/drawing/2014/main" id="{00000000-0008-0000-0000-0000F7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78" name="TextBox 4577">
          <a:extLst>
            <a:ext uri="{FF2B5EF4-FFF2-40B4-BE49-F238E27FC236}">
              <a16:creationId xmlns:a16="http://schemas.microsoft.com/office/drawing/2014/main" id="{00000000-0008-0000-0000-0000F8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79" name="TextBox 4578">
          <a:extLst>
            <a:ext uri="{FF2B5EF4-FFF2-40B4-BE49-F238E27FC236}">
              <a16:creationId xmlns:a16="http://schemas.microsoft.com/office/drawing/2014/main" id="{00000000-0008-0000-0000-0000F9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80" name="TextBox 4579">
          <a:extLst>
            <a:ext uri="{FF2B5EF4-FFF2-40B4-BE49-F238E27FC236}">
              <a16:creationId xmlns:a16="http://schemas.microsoft.com/office/drawing/2014/main" id="{00000000-0008-0000-0000-0000FA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81" name="TextBox 4580">
          <a:extLst>
            <a:ext uri="{FF2B5EF4-FFF2-40B4-BE49-F238E27FC236}">
              <a16:creationId xmlns:a16="http://schemas.microsoft.com/office/drawing/2014/main" id="{00000000-0008-0000-0000-0000FB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82" name="TextBox 4581">
          <a:extLst>
            <a:ext uri="{FF2B5EF4-FFF2-40B4-BE49-F238E27FC236}">
              <a16:creationId xmlns:a16="http://schemas.microsoft.com/office/drawing/2014/main" id="{00000000-0008-0000-0000-0000FC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83" name="TextBox 4582">
          <a:extLst>
            <a:ext uri="{FF2B5EF4-FFF2-40B4-BE49-F238E27FC236}">
              <a16:creationId xmlns:a16="http://schemas.microsoft.com/office/drawing/2014/main" id="{00000000-0008-0000-0000-0000FD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84" name="TextBox 4583">
          <a:extLst>
            <a:ext uri="{FF2B5EF4-FFF2-40B4-BE49-F238E27FC236}">
              <a16:creationId xmlns:a16="http://schemas.microsoft.com/office/drawing/2014/main" id="{00000000-0008-0000-0000-0000FE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85" name="TextBox 4584">
          <a:extLst>
            <a:ext uri="{FF2B5EF4-FFF2-40B4-BE49-F238E27FC236}">
              <a16:creationId xmlns:a16="http://schemas.microsoft.com/office/drawing/2014/main" id="{00000000-0008-0000-0000-0000FF00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86" name="TextBox 4585">
          <a:extLst>
            <a:ext uri="{FF2B5EF4-FFF2-40B4-BE49-F238E27FC236}">
              <a16:creationId xmlns:a16="http://schemas.microsoft.com/office/drawing/2014/main" id="{00000000-0008-0000-0000-000000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87" name="TextBox 4586">
          <a:extLst>
            <a:ext uri="{FF2B5EF4-FFF2-40B4-BE49-F238E27FC236}">
              <a16:creationId xmlns:a16="http://schemas.microsoft.com/office/drawing/2014/main" id="{00000000-0008-0000-0000-000001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88" name="TextBox 4587">
          <a:extLst>
            <a:ext uri="{FF2B5EF4-FFF2-40B4-BE49-F238E27FC236}">
              <a16:creationId xmlns:a16="http://schemas.microsoft.com/office/drawing/2014/main" id="{00000000-0008-0000-0000-000002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89" name="TextBox 4588">
          <a:extLst>
            <a:ext uri="{FF2B5EF4-FFF2-40B4-BE49-F238E27FC236}">
              <a16:creationId xmlns:a16="http://schemas.microsoft.com/office/drawing/2014/main" id="{00000000-0008-0000-0000-000003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90" name="TextBox 4589">
          <a:extLst>
            <a:ext uri="{FF2B5EF4-FFF2-40B4-BE49-F238E27FC236}">
              <a16:creationId xmlns:a16="http://schemas.microsoft.com/office/drawing/2014/main" id="{00000000-0008-0000-0000-000004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91" name="TextBox 4590">
          <a:extLst>
            <a:ext uri="{FF2B5EF4-FFF2-40B4-BE49-F238E27FC236}">
              <a16:creationId xmlns:a16="http://schemas.microsoft.com/office/drawing/2014/main" id="{00000000-0008-0000-0000-000005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92" name="TextBox 4591">
          <a:extLst>
            <a:ext uri="{FF2B5EF4-FFF2-40B4-BE49-F238E27FC236}">
              <a16:creationId xmlns:a16="http://schemas.microsoft.com/office/drawing/2014/main" id="{00000000-0008-0000-0000-000006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93" name="TextBox 4592">
          <a:extLst>
            <a:ext uri="{FF2B5EF4-FFF2-40B4-BE49-F238E27FC236}">
              <a16:creationId xmlns:a16="http://schemas.microsoft.com/office/drawing/2014/main" id="{00000000-0008-0000-0000-000007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94" name="TextBox 4593">
          <a:extLst>
            <a:ext uri="{FF2B5EF4-FFF2-40B4-BE49-F238E27FC236}">
              <a16:creationId xmlns:a16="http://schemas.microsoft.com/office/drawing/2014/main" id="{00000000-0008-0000-0000-000008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95" name="TextBox 4594">
          <a:extLst>
            <a:ext uri="{FF2B5EF4-FFF2-40B4-BE49-F238E27FC236}">
              <a16:creationId xmlns:a16="http://schemas.microsoft.com/office/drawing/2014/main" id="{00000000-0008-0000-0000-000009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96" name="TextBox 4595">
          <a:extLst>
            <a:ext uri="{FF2B5EF4-FFF2-40B4-BE49-F238E27FC236}">
              <a16:creationId xmlns:a16="http://schemas.microsoft.com/office/drawing/2014/main" id="{00000000-0008-0000-0000-00000A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97" name="TextBox 4596">
          <a:extLst>
            <a:ext uri="{FF2B5EF4-FFF2-40B4-BE49-F238E27FC236}">
              <a16:creationId xmlns:a16="http://schemas.microsoft.com/office/drawing/2014/main" id="{00000000-0008-0000-0000-00000B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98" name="TextBox 4597">
          <a:extLst>
            <a:ext uri="{FF2B5EF4-FFF2-40B4-BE49-F238E27FC236}">
              <a16:creationId xmlns:a16="http://schemas.microsoft.com/office/drawing/2014/main" id="{00000000-0008-0000-0000-00000C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599" name="TextBox 4598">
          <a:extLst>
            <a:ext uri="{FF2B5EF4-FFF2-40B4-BE49-F238E27FC236}">
              <a16:creationId xmlns:a16="http://schemas.microsoft.com/office/drawing/2014/main" id="{00000000-0008-0000-0000-00000D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00" name="TextBox 4599">
          <a:extLst>
            <a:ext uri="{FF2B5EF4-FFF2-40B4-BE49-F238E27FC236}">
              <a16:creationId xmlns:a16="http://schemas.microsoft.com/office/drawing/2014/main" id="{00000000-0008-0000-0000-00000E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01" name="TextBox 4600">
          <a:extLst>
            <a:ext uri="{FF2B5EF4-FFF2-40B4-BE49-F238E27FC236}">
              <a16:creationId xmlns:a16="http://schemas.microsoft.com/office/drawing/2014/main" id="{00000000-0008-0000-0000-00000F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02" name="TextBox 4601">
          <a:extLst>
            <a:ext uri="{FF2B5EF4-FFF2-40B4-BE49-F238E27FC236}">
              <a16:creationId xmlns:a16="http://schemas.microsoft.com/office/drawing/2014/main" id="{00000000-0008-0000-0000-000010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03" name="TextBox 4602">
          <a:extLst>
            <a:ext uri="{FF2B5EF4-FFF2-40B4-BE49-F238E27FC236}">
              <a16:creationId xmlns:a16="http://schemas.microsoft.com/office/drawing/2014/main" id="{00000000-0008-0000-0000-000011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04" name="TextBox 4603">
          <a:extLst>
            <a:ext uri="{FF2B5EF4-FFF2-40B4-BE49-F238E27FC236}">
              <a16:creationId xmlns:a16="http://schemas.microsoft.com/office/drawing/2014/main" id="{00000000-0008-0000-0000-000012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05" name="TextBox 4604">
          <a:extLst>
            <a:ext uri="{FF2B5EF4-FFF2-40B4-BE49-F238E27FC236}">
              <a16:creationId xmlns:a16="http://schemas.microsoft.com/office/drawing/2014/main" id="{00000000-0008-0000-0000-000013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06" name="TextBox 4605">
          <a:extLst>
            <a:ext uri="{FF2B5EF4-FFF2-40B4-BE49-F238E27FC236}">
              <a16:creationId xmlns:a16="http://schemas.microsoft.com/office/drawing/2014/main" id="{00000000-0008-0000-0000-000014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07" name="TextBox 4606">
          <a:extLst>
            <a:ext uri="{FF2B5EF4-FFF2-40B4-BE49-F238E27FC236}">
              <a16:creationId xmlns:a16="http://schemas.microsoft.com/office/drawing/2014/main" id="{00000000-0008-0000-0000-000015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08" name="TextBox 4607">
          <a:extLst>
            <a:ext uri="{FF2B5EF4-FFF2-40B4-BE49-F238E27FC236}">
              <a16:creationId xmlns:a16="http://schemas.microsoft.com/office/drawing/2014/main" id="{00000000-0008-0000-0000-000016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09" name="TextBox 4608">
          <a:extLst>
            <a:ext uri="{FF2B5EF4-FFF2-40B4-BE49-F238E27FC236}">
              <a16:creationId xmlns:a16="http://schemas.microsoft.com/office/drawing/2014/main" id="{00000000-0008-0000-0000-000017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10" name="TextBox 4609">
          <a:extLst>
            <a:ext uri="{FF2B5EF4-FFF2-40B4-BE49-F238E27FC236}">
              <a16:creationId xmlns:a16="http://schemas.microsoft.com/office/drawing/2014/main" id="{00000000-0008-0000-0000-000018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11" name="TextBox 4610">
          <a:extLst>
            <a:ext uri="{FF2B5EF4-FFF2-40B4-BE49-F238E27FC236}">
              <a16:creationId xmlns:a16="http://schemas.microsoft.com/office/drawing/2014/main" id="{00000000-0008-0000-0000-000019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12" name="TextBox 4611">
          <a:extLst>
            <a:ext uri="{FF2B5EF4-FFF2-40B4-BE49-F238E27FC236}">
              <a16:creationId xmlns:a16="http://schemas.microsoft.com/office/drawing/2014/main" id="{00000000-0008-0000-0000-00001A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13" name="TextBox 4612">
          <a:extLst>
            <a:ext uri="{FF2B5EF4-FFF2-40B4-BE49-F238E27FC236}">
              <a16:creationId xmlns:a16="http://schemas.microsoft.com/office/drawing/2014/main" id="{00000000-0008-0000-0000-00001B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14" name="TextBox 4613">
          <a:extLst>
            <a:ext uri="{FF2B5EF4-FFF2-40B4-BE49-F238E27FC236}">
              <a16:creationId xmlns:a16="http://schemas.microsoft.com/office/drawing/2014/main" id="{00000000-0008-0000-0000-00001C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15" name="TextBox 4614">
          <a:extLst>
            <a:ext uri="{FF2B5EF4-FFF2-40B4-BE49-F238E27FC236}">
              <a16:creationId xmlns:a16="http://schemas.microsoft.com/office/drawing/2014/main" id="{00000000-0008-0000-0000-00001D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16" name="TextBox 4615">
          <a:extLst>
            <a:ext uri="{FF2B5EF4-FFF2-40B4-BE49-F238E27FC236}">
              <a16:creationId xmlns:a16="http://schemas.microsoft.com/office/drawing/2014/main" id="{00000000-0008-0000-0000-00001E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17" name="TextBox 4616">
          <a:extLst>
            <a:ext uri="{FF2B5EF4-FFF2-40B4-BE49-F238E27FC236}">
              <a16:creationId xmlns:a16="http://schemas.microsoft.com/office/drawing/2014/main" id="{00000000-0008-0000-0000-00001F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18" name="TextBox 4617">
          <a:extLst>
            <a:ext uri="{FF2B5EF4-FFF2-40B4-BE49-F238E27FC236}">
              <a16:creationId xmlns:a16="http://schemas.microsoft.com/office/drawing/2014/main" id="{00000000-0008-0000-0000-000020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19" name="TextBox 4618">
          <a:extLst>
            <a:ext uri="{FF2B5EF4-FFF2-40B4-BE49-F238E27FC236}">
              <a16:creationId xmlns:a16="http://schemas.microsoft.com/office/drawing/2014/main" id="{00000000-0008-0000-0000-000021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20" name="TextBox 4619">
          <a:extLst>
            <a:ext uri="{FF2B5EF4-FFF2-40B4-BE49-F238E27FC236}">
              <a16:creationId xmlns:a16="http://schemas.microsoft.com/office/drawing/2014/main" id="{00000000-0008-0000-0000-000022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21" name="TextBox 4620">
          <a:extLst>
            <a:ext uri="{FF2B5EF4-FFF2-40B4-BE49-F238E27FC236}">
              <a16:creationId xmlns:a16="http://schemas.microsoft.com/office/drawing/2014/main" id="{00000000-0008-0000-0000-000023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22" name="TextBox 4621">
          <a:extLst>
            <a:ext uri="{FF2B5EF4-FFF2-40B4-BE49-F238E27FC236}">
              <a16:creationId xmlns:a16="http://schemas.microsoft.com/office/drawing/2014/main" id="{00000000-0008-0000-0000-000024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23" name="TextBox 4622">
          <a:extLst>
            <a:ext uri="{FF2B5EF4-FFF2-40B4-BE49-F238E27FC236}">
              <a16:creationId xmlns:a16="http://schemas.microsoft.com/office/drawing/2014/main" id="{00000000-0008-0000-0000-000025010000}"/>
            </a:ext>
          </a:extLst>
        </xdr:cNvPr>
        <xdr:cNvSpPr txBox="1"/>
      </xdr:nvSpPr>
      <xdr:spPr>
        <a:xfrm>
          <a:off x="826770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24" name="TextBox 4623">
          <a:extLst>
            <a:ext uri="{FF2B5EF4-FFF2-40B4-BE49-F238E27FC236}">
              <a16:creationId xmlns:a16="http://schemas.microsoft.com/office/drawing/2014/main" id="{00000000-0008-0000-0000-000026010000}"/>
            </a:ext>
          </a:extLst>
        </xdr:cNvPr>
        <xdr:cNvSpPr txBox="1"/>
      </xdr:nvSpPr>
      <xdr:spPr>
        <a:xfrm>
          <a:off x="1258062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25" name="TextBox 4624">
          <a:extLst>
            <a:ext uri="{FF2B5EF4-FFF2-40B4-BE49-F238E27FC236}">
              <a16:creationId xmlns:a16="http://schemas.microsoft.com/office/drawing/2014/main" id="{00000000-0008-0000-0000-000027010000}"/>
            </a:ext>
          </a:extLst>
        </xdr:cNvPr>
        <xdr:cNvSpPr txBox="1"/>
      </xdr:nvSpPr>
      <xdr:spPr>
        <a:xfrm>
          <a:off x="1258062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26" name="TextBox 4625">
          <a:extLst>
            <a:ext uri="{FF2B5EF4-FFF2-40B4-BE49-F238E27FC236}">
              <a16:creationId xmlns:a16="http://schemas.microsoft.com/office/drawing/2014/main" id="{00000000-0008-0000-0000-000028010000}"/>
            </a:ext>
          </a:extLst>
        </xdr:cNvPr>
        <xdr:cNvSpPr txBox="1"/>
      </xdr:nvSpPr>
      <xdr:spPr>
        <a:xfrm>
          <a:off x="1258062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27" name="TextBox 4626">
          <a:extLst>
            <a:ext uri="{FF2B5EF4-FFF2-40B4-BE49-F238E27FC236}">
              <a16:creationId xmlns:a16="http://schemas.microsoft.com/office/drawing/2014/main" id="{00000000-0008-0000-0000-000029010000}"/>
            </a:ext>
          </a:extLst>
        </xdr:cNvPr>
        <xdr:cNvSpPr txBox="1"/>
      </xdr:nvSpPr>
      <xdr:spPr>
        <a:xfrm>
          <a:off x="1258062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28" name="TextBox 4627">
          <a:extLst>
            <a:ext uri="{FF2B5EF4-FFF2-40B4-BE49-F238E27FC236}">
              <a16:creationId xmlns:a16="http://schemas.microsoft.com/office/drawing/2014/main" id="{00000000-0008-0000-0000-00002A010000}"/>
            </a:ext>
          </a:extLst>
        </xdr:cNvPr>
        <xdr:cNvSpPr txBox="1"/>
      </xdr:nvSpPr>
      <xdr:spPr>
        <a:xfrm>
          <a:off x="1258062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29" name="TextBox 4628">
          <a:extLst>
            <a:ext uri="{FF2B5EF4-FFF2-40B4-BE49-F238E27FC236}">
              <a16:creationId xmlns:a16="http://schemas.microsoft.com/office/drawing/2014/main" id="{00000000-0008-0000-0000-00002B010000}"/>
            </a:ext>
          </a:extLst>
        </xdr:cNvPr>
        <xdr:cNvSpPr txBox="1"/>
      </xdr:nvSpPr>
      <xdr:spPr>
        <a:xfrm>
          <a:off x="1258062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30" name="TextBox 4629">
          <a:extLst>
            <a:ext uri="{FF2B5EF4-FFF2-40B4-BE49-F238E27FC236}">
              <a16:creationId xmlns:a16="http://schemas.microsoft.com/office/drawing/2014/main" id="{00000000-0008-0000-0000-00002C010000}"/>
            </a:ext>
          </a:extLst>
        </xdr:cNvPr>
        <xdr:cNvSpPr txBox="1"/>
      </xdr:nvSpPr>
      <xdr:spPr>
        <a:xfrm>
          <a:off x="1258062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631" name="TextBox 4630">
          <a:extLst>
            <a:ext uri="{FF2B5EF4-FFF2-40B4-BE49-F238E27FC236}">
              <a16:creationId xmlns:a16="http://schemas.microsoft.com/office/drawing/2014/main" id="{00000000-0008-0000-0000-00002D010000}"/>
            </a:ext>
          </a:extLst>
        </xdr:cNvPr>
        <xdr:cNvSpPr txBox="1"/>
      </xdr:nvSpPr>
      <xdr:spPr>
        <a:xfrm>
          <a:off x="12580620" y="34373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32" name="TextBox 4631">
          <a:extLst>
            <a:ext uri="{FF2B5EF4-FFF2-40B4-BE49-F238E27FC236}">
              <a16:creationId xmlns:a16="http://schemas.microsoft.com/office/drawing/2014/main" id="{00000000-0008-0000-0000-00002E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33" name="TextBox 4632">
          <a:extLst>
            <a:ext uri="{FF2B5EF4-FFF2-40B4-BE49-F238E27FC236}">
              <a16:creationId xmlns:a16="http://schemas.microsoft.com/office/drawing/2014/main" id="{00000000-0008-0000-0000-00002F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34" name="TextBox 4633">
          <a:extLst>
            <a:ext uri="{FF2B5EF4-FFF2-40B4-BE49-F238E27FC236}">
              <a16:creationId xmlns:a16="http://schemas.microsoft.com/office/drawing/2014/main" id="{00000000-0008-0000-0000-000030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35" name="TextBox 4634">
          <a:extLst>
            <a:ext uri="{FF2B5EF4-FFF2-40B4-BE49-F238E27FC236}">
              <a16:creationId xmlns:a16="http://schemas.microsoft.com/office/drawing/2014/main" id="{00000000-0008-0000-0000-000031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36" name="TextBox 4635">
          <a:extLst>
            <a:ext uri="{FF2B5EF4-FFF2-40B4-BE49-F238E27FC236}">
              <a16:creationId xmlns:a16="http://schemas.microsoft.com/office/drawing/2014/main" id="{00000000-0008-0000-0000-000032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37" name="TextBox 4636">
          <a:extLst>
            <a:ext uri="{FF2B5EF4-FFF2-40B4-BE49-F238E27FC236}">
              <a16:creationId xmlns:a16="http://schemas.microsoft.com/office/drawing/2014/main" id="{00000000-0008-0000-0000-000033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38" name="TextBox 4637">
          <a:extLst>
            <a:ext uri="{FF2B5EF4-FFF2-40B4-BE49-F238E27FC236}">
              <a16:creationId xmlns:a16="http://schemas.microsoft.com/office/drawing/2014/main" id="{00000000-0008-0000-0000-000034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39" name="TextBox 4638">
          <a:extLst>
            <a:ext uri="{FF2B5EF4-FFF2-40B4-BE49-F238E27FC236}">
              <a16:creationId xmlns:a16="http://schemas.microsoft.com/office/drawing/2014/main" id="{00000000-0008-0000-0000-000035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40" name="TextBox 4639">
          <a:extLst>
            <a:ext uri="{FF2B5EF4-FFF2-40B4-BE49-F238E27FC236}">
              <a16:creationId xmlns:a16="http://schemas.microsoft.com/office/drawing/2014/main" id="{00000000-0008-0000-0000-000036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41" name="TextBox 4640">
          <a:extLst>
            <a:ext uri="{FF2B5EF4-FFF2-40B4-BE49-F238E27FC236}">
              <a16:creationId xmlns:a16="http://schemas.microsoft.com/office/drawing/2014/main" id="{00000000-0008-0000-0000-000037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42" name="TextBox 4641">
          <a:extLst>
            <a:ext uri="{FF2B5EF4-FFF2-40B4-BE49-F238E27FC236}">
              <a16:creationId xmlns:a16="http://schemas.microsoft.com/office/drawing/2014/main" id="{00000000-0008-0000-0000-000038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43" name="TextBox 4642">
          <a:extLst>
            <a:ext uri="{FF2B5EF4-FFF2-40B4-BE49-F238E27FC236}">
              <a16:creationId xmlns:a16="http://schemas.microsoft.com/office/drawing/2014/main" id="{00000000-0008-0000-0000-000039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44" name="TextBox 4643">
          <a:extLst>
            <a:ext uri="{FF2B5EF4-FFF2-40B4-BE49-F238E27FC236}">
              <a16:creationId xmlns:a16="http://schemas.microsoft.com/office/drawing/2014/main" id="{00000000-0008-0000-0000-00003A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45" name="TextBox 4644">
          <a:extLst>
            <a:ext uri="{FF2B5EF4-FFF2-40B4-BE49-F238E27FC236}">
              <a16:creationId xmlns:a16="http://schemas.microsoft.com/office/drawing/2014/main" id="{00000000-0008-0000-0000-00003B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46" name="TextBox 4645">
          <a:extLst>
            <a:ext uri="{FF2B5EF4-FFF2-40B4-BE49-F238E27FC236}">
              <a16:creationId xmlns:a16="http://schemas.microsoft.com/office/drawing/2014/main" id="{00000000-0008-0000-0000-00003C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47" name="TextBox 4646">
          <a:extLst>
            <a:ext uri="{FF2B5EF4-FFF2-40B4-BE49-F238E27FC236}">
              <a16:creationId xmlns:a16="http://schemas.microsoft.com/office/drawing/2014/main" id="{00000000-0008-0000-0000-00003D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48" name="TextBox 4647">
          <a:extLst>
            <a:ext uri="{FF2B5EF4-FFF2-40B4-BE49-F238E27FC236}">
              <a16:creationId xmlns:a16="http://schemas.microsoft.com/office/drawing/2014/main" id="{00000000-0008-0000-0000-00003E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49" name="TextBox 4648">
          <a:extLst>
            <a:ext uri="{FF2B5EF4-FFF2-40B4-BE49-F238E27FC236}">
              <a16:creationId xmlns:a16="http://schemas.microsoft.com/office/drawing/2014/main" id="{00000000-0008-0000-0000-00003F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50" name="TextBox 4649">
          <a:extLst>
            <a:ext uri="{FF2B5EF4-FFF2-40B4-BE49-F238E27FC236}">
              <a16:creationId xmlns:a16="http://schemas.microsoft.com/office/drawing/2014/main" id="{00000000-0008-0000-0000-000040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51" name="TextBox 4650">
          <a:extLst>
            <a:ext uri="{FF2B5EF4-FFF2-40B4-BE49-F238E27FC236}">
              <a16:creationId xmlns:a16="http://schemas.microsoft.com/office/drawing/2014/main" id="{00000000-0008-0000-0000-000041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52" name="TextBox 4651">
          <a:extLst>
            <a:ext uri="{FF2B5EF4-FFF2-40B4-BE49-F238E27FC236}">
              <a16:creationId xmlns:a16="http://schemas.microsoft.com/office/drawing/2014/main" id="{00000000-0008-0000-0000-000042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53" name="TextBox 4652">
          <a:extLst>
            <a:ext uri="{FF2B5EF4-FFF2-40B4-BE49-F238E27FC236}">
              <a16:creationId xmlns:a16="http://schemas.microsoft.com/office/drawing/2014/main" id="{00000000-0008-0000-0000-000043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54" name="TextBox 4653">
          <a:extLst>
            <a:ext uri="{FF2B5EF4-FFF2-40B4-BE49-F238E27FC236}">
              <a16:creationId xmlns:a16="http://schemas.microsoft.com/office/drawing/2014/main" id="{00000000-0008-0000-0000-000044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55" name="TextBox 4654">
          <a:extLst>
            <a:ext uri="{FF2B5EF4-FFF2-40B4-BE49-F238E27FC236}">
              <a16:creationId xmlns:a16="http://schemas.microsoft.com/office/drawing/2014/main" id="{00000000-0008-0000-0000-000045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56" name="TextBox 4655">
          <a:extLst>
            <a:ext uri="{FF2B5EF4-FFF2-40B4-BE49-F238E27FC236}">
              <a16:creationId xmlns:a16="http://schemas.microsoft.com/office/drawing/2014/main" id="{00000000-0008-0000-0000-000046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57" name="TextBox 4656">
          <a:extLst>
            <a:ext uri="{FF2B5EF4-FFF2-40B4-BE49-F238E27FC236}">
              <a16:creationId xmlns:a16="http://schemas.microsoft.com/office/drawing/2014/main" id="{00000000-0008-0000-0000-000047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58" name="TextBox 4657">
          <a:extLst>
            <a:ext uri="{FF2B5EF4-FFF2-40B4-BE49-F238E27FC236}">
              <a16:creationId xmlns:a16="http://schemas.microsoft.com/office/drawing/2014/main" id="{00000000-0008-0000-0000-000048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59" name="TextBox 4658">
          <a:extLst>
            <a:ext uri="{FF2B5EF4-FFF2-40B4-BE49-F238E27FC236}">
              <a16:creationId xmlns:a16="http://schemas.microsoft.com/office/drawing/2014/main" id="{00000000-0008-0000-0000-000049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60" name="TextBox 4659">
          <a:extLst>
            <a:ext uri="{FF2B5EF4-FFF2-40B4-BE49-F238E27FC236}">
              <a16:creationId xmlns:a16="http://schemas.microsoft.com/office/drawing/2014/main" id="{00000000-0008-0000-0000-00004A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61" name="TextBox 4660">
          <a:extLst>
            <a:ext uri="{FF2B5EF4-FFF2-40B4-BE49-F238E27FC236}">
              <a16:creationId xmlns:a16="http://schemas.microsoft.com/office/drawing/2014/main" id="{00000000-0008-0000-0000-00004B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62" name="TextBox 4661">
          <a:extLst>
            <a:ext uri="{FF2B5EF4-FFF2-40B4-BE49-F238E27FC236}">
              <a16:creationId xmlns:a16="http://schemas.microsoft.com/office/drawing/2014/main" id="{00000000-0008-0000-0000-00004C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63" name="TextBox 4662">
          <a:extLst>
            <a:ext uri="{FF2B5EF4-FFF2-40B4-BE49-F238E27FC236}">
              <a16:creationId xmlns:a16="http://schemas.microsoft.com/office/drawing/2014/main" id="{00000000-0008-0000-0000-00004D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64" name="TextBox 4663">
          <a:extLst>
            <a:ext uri="{FF2B5EF4-FFF2-40B4-BE49-F238E27FC236}">
              <a16:creationId xmlns:a16="http://schemas.microsoft.com/office/drawing/2014/main" id="{00000000-0008-0000-0000-00004E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65" name="TextBox 4664">
          <a:extLst>
            <a:ext uri="{FF2B5EF4-FFF2-40B4-BE49-F238E27FC236}">
              <a16:creationId xmlns:a16="http://schemas.microsoft.com/office/drawing/2014/main" id="{00000000-0008-0000-0000-00004F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66" name="TextBox 4665">
          <a:extLst>
            <a:ext uri="{FF2B5EF4-FFF2-40B4-BE49-F238E27FC236}">
              <a16:creationId xmlns:a16="http://schemas.microsoft.com/office/drawing/2014/main" id="{00000000-0008-0000-0000-000050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67" name="TextBox 4666">
          <a:extLst>
            <a:ext uri="{FF2B5EF4-FFF2-40B4-BE49-F238E27FC236}">
              <a16:creationId xmlns:a16="http://schemas.microsoft.com/office/drawing/2014/main" id="{00000000-0008-0000-0000-000051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68" name="TextBox 4667">
          <a:extLst>
            <a:ext uri="{FF2B5EF4-FFF2-40B4-BE49-F238E27FC236}">
              <a16:creationId xmlns:a16="http://schemas.microsoft.com/office/drawing/2014/main" id="{00000000-0008-0000-0000-000052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69" name="TextBox 4668">
          <a:extLst>
            <a:ext uri="{FF2B5EF4-FFF2-40B4-BE49-F238E27FC236}">
              <a16:creationId xmlns:a16="http://schemas.microsoft.com/office/drawing/2014/main" id="{00000000-0008-0000-0000-000053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70" name="TextBox 4669">
          <a:extLst>
            <a:ext uri="{FF2B5EF4-FFF2-40B4-BE49-F238E27FC236}">
              <a16:creationId xmlns:a16="http://schemas.microsoft.com/office/drawing/2014/main" id="{00000000-0008-0000-0000-000054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71" name="TextBox 4670">
          <a:extLst>
            <a:ext uri="{FF2B5EF4-FFF2-40B4-BE49-F238E27FC236}">
              <a16:creationId xmlns:a16="http://schemas.microsoft.com/office/drawing/2014/main" id="{00000000-0008-0000-0000-000055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72" name="TextBox 4671">
          <a:extLst>
            <a:ext uri="{FF2B5EF4-FFF2-40B4-BE49-F238E27FC236}">
              <a16:creationId xmlns:a16="http://schemas.microsoft.com/office/drawing/2014/main" id="{00000000-0008-0000-0000-000056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73" name="TextBox 4672">
          <a:extLst>
            <a:ext uri="{FF2B5EF4-FFF2-40B4-BE49-F238E27FC236}">
              <a16:creationId xmlns:a16="http://schemas.microsoft.com/office/drawing/2014/main" id="{00000000-0008-0000-0000-000057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74" name="TextBox 4673">
          <a:extLst>
            <a:ext uri="{FF2B5EF4-FFF2-40B4-BE49-F238E27FC236}">
              <a16:creationId xmlns:a16="http://schemas.microsoft.com/office/drawing/2014/main" id="{00000000-0008-0000-0000-000058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75" name="TextBox 4674">
          <a:extLst>
            <a:ext uri="{FF2B5EF4-FFF2-40B4-BE49-F238E27FC236}">
              <a16:creationId xmlns:a16="http://schemas.microsoft.com/office/drawing/2014/main" id="{00000000-0008-0000-0000-000059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76" name="TextBox 4675">
          <a:extLst>
            <a:ext uri="{FF2B5EF4-FFF2-40B4-BE49-F238E27FC236}">
              <a16:creationId xmlns:a16="http://schemas.microsoft.com/office/drawing/2014/main" id="{00000000-0008-0000-0000-00005A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77" name="TextBox 4676">
          <a:extLst>
            <a:ext uri="{FF2B5EF4-FFF2-40B4-BE49-F238E27FC236}">
              <a16:creationId xmlns:a16="http://schemas.microsoft.com/office/drawing/2014/main" id="{00000000-0008-0000-0000-00005B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78" name="TextBox 4677">
          <a:extLst>
            <a:ext uri="{FF2B5EF4-FFF2-40B4-BE49-F238E27FC236}">
              <a16:creationId xmlns:a16="http://schemas.microsoft.com/office/drawing/2014/main" id="{00000000-0008-0000-0000-00005C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79" name="TextBox 4678">
          <a:extLst>
            <a:ext uri="{FF2B5EF4-FFF2-40B4-BE49-F238E27FC236}">
              <a16:creationId xmlns:a16="http://schemas.microsoft.com/office/drawing/2014/main" id="{00000000-0008-0000-0000-00005D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80" name="TextBox 4679">
          <a:extLst>
            <a:ext uri="{FF2B5EF4-FFF2-40B4-BE49-F238E27FC236}">
              <a16:creationId xmlns:a16="http://schemas.microsoft.com/office/drawing/2014/main" id="{00000000-0008-0000-0000-00005E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81" name="TextBox 4680">
          <a:extLst>
            <a:ext uri="{FF2B5EF4-FFF2-40B4-BE49-F238E27FC236}">
              <a16:creationId xmlns:a16="http://schemas.microsoft.com/office/drawing/2014/main" id="{00000000-0008-0000-0000-00005F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82" name="TextBox 4681">
          <a:extLst>
            <a:ext uri="{FF2B5EF4-FFF2-40B4-BE49-F238E27FC236}">
              <a16:creationId xmlns:a16="http://schemas.microsoft.com/office/drawing/2014/main" id="{00000000-0008-0000-0000-000060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83" name="TextBox 4682">
          <a:extLst>
            <a:ext uri="{FF2B5EF4-FFF2-40B4-BE49-F238E27FC236}">
              <a16:creationId xmlns:a16="http://schemas.microsoft.com/office/drawing/2014/main" id="{00000000-0008-0000-0000-000061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84" name="TextBox 4683">
          <a:extLst>
            <a:ext uri="{FF2B5EF4-FFF2-40B4-BE49-F238E27FC236}">
              <a16:creationId xmlns:a16="http://schemas.microsoft.com/office/drawing/2014/main" id="{00000000-0008-0000-0000-000062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85" name="TextBox 4684">
          <a:extLst>
            <a:ext uri="{FF2B5EF4-FFF2-40B4-BE49-F238E27FC236}">
              <a16:creationId xmlns:a16="http://schemas.microsoft.com/office/drawing/2014/main" id="{00000000-0008-0000-0000-000063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86" name="TextBox 4685">
          <a:extLst>
            <a:ext uri="{FF2B5EF4-FFF2-40B4-BE49-F238E27FC236}">
              <a16:creationId xmlns:a16="http://schemas.microsoft.com/office/drawing/2014/main" id="{00000000-0008-0000-0000-000064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87" name="TextBox 4686">
          <a:extLst>
            <a:ext uri="{FF2B5EF4-FFF2-40B4-BE49-F238E27FC236}">
              <a16:creationId xmlns:a16="http://schemas.microsoft.com/office/drawing/2014/main" id="{00000000-0008-0000-0000-000065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88" name="TextBox 4687">
          <a:extLst>
            <a:ext uri="{FF2B5EF4-FFF2-40B4-BE49-F238E27FC236}">
              <a16:creationId xmlns:a16="http://schemas.microsoft.com/office/drawing/2014/main" id="{00000000-0008-0000-0000-000066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89" name="TextBox 4688">
          <a:extLst>
            <a:ext uri="{FF2B5EF4-FFF2-40B4-BE49-F238E27FC236}">
              <a16:creationId xmlns:a16="http://schemas.microsoft.com/office/drawing/2014/main" id="{00000000-0008-0000-0000-000067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90" name="TextBox 4689">
          <a:extLst>
            <a:ext uri="{FF2B5EF4-FFF2-40B4-BE49-F238E27FC236}">
              <a16:creationId xmlns:a16="http://schemas.microsoft.com/office/drawing/2014/main" id="{00000000-0008-0000-0000-000068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91" name="TextBox 4690">
          <a:extLst>
            <a:ext uri="{FF2B5EF4-FFF2-40B4-BE49-F238E27FC236}">
              <a16:creationId xmlns:a16="http://schemas.microsoft.com/office/drawing/2014/main" id="{00000000-0008-0000-0000-000069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92" name="TextBox 4691">
          <a:extLst>
            <a:ext uri="{FF2B5EF4-FFF2-40B4-BE49-F238E27FC236}">
              <a16:creationId xmlns:a16="http://schemas.microsoft.com/office/drawing/2014/main" id="{00000000-0008-0000-0000-00006A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93" name="TextBox 4692">
          <a:extLst>
            <a:ext uri="{FF2B5EF4-FFF2-40B4-BE49-F238E27FC236}">
              <a16:creationId xmlns:a16="http://schemas.microsoft.com/office/drawing/2014/main" id="{00000000-0008-0000-0000-00006B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94" name="TextBox 4693">
          <a:extLst>
            <a:ext uri="{FF2B5EF4-FFF2-40B4-BE49-F238E27FC236}">
              <a16:creationId xmlns:a16="http://schemas.microsoft.com/office/drawing/2014/main" id="{00000000-0008-0000-0000-00006C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695" name="TextBox 4694">
          <a:extLst>
            <a:ext uri="{FF2B5EF4-FFF2-40B4-BE49-F238E27FC236}">
              <a16:creationId xmlns:a16="http://schemas.microsoft.com/office/drawing/2014/main" id="{00000000-0008-0000-0000-00006D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696" name="TextBox 4695">
          <a:extLst>
            <a:ext uri="{FF2B5EF4-FFF2-40B4-BE49-F238E27FC236}">
              <a16:creationId xmlns:a16="http://schemas.microsoft.com/office/drawing/2014/main" id="{00000000-0008-0000-0000-00006E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697" name="TextBox 4696">
          <a:extLst>
            <a:ext uri="{FF2B5EF4-FFF2-40B4-BE49-F238E27FC236}">
              <a16:creationId xmlns:a16="http://schemas.microsoft.com/office/drawing/2014/main" id="{00000000-0008-0000-0000-00006F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698" name="TextBox 4697">
          <a:extLst>
            <a:ext uri="{FF2B5EF4-FFF2-40B4-BE49-F238E27FC236}">
              <a16:creationId xmlns:a16="http://schemas.microsoft.com/office/drawing/2014/main" id="{00000000-0008-0000-0000-000070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699" name="TextBox 4698">
          <a:extLst>
            <a:ext uri="{FF2B5EF4-FFF2-40B4-BE49-F238E27FC236}">
              <a16:creationId xmlns:a16="http://schemas.microsoft.com/office/drawing/2014/main" id="{00000000-0008-0000-0000-000071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00" name="TextBox 4699">
          <a:extLst>
            <a:ext uri="{FF2B5EF4-FFF2-40B4-BE49-F238E27FC236}">
              <a16:creationId xmlns:a16="http://schemas.microsoft.com/office/drawing/2014/main" id="{00000000-0008-0000-0000-000072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01" name="TextBox 4700">
          <a:extLst>
            <a:ext uri="{FF2B5EF4-FFF2-40B4-BE49-F238E27FC236}">
              <a16:creationId xmlns:a16="http://schemas.microsoft.com/office/drawing/2014/main" id="{00000000-0008-0000-0000-000073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02" name="TextBox 4701">
          <a:extLst>
            <a:ext uri="{FF2B5EF4-FFF2-40B4-BE49-F238E27FC236}">
              <a16:creationId xmlns:a16="http://schemas.microsoft.com/office/drawing/2014/main" id="{00000000-0008-0000-0000-000074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03" name="TextBox 4702">
          <a:extLst>
            <a:ext uri="{FF2B5EF4-FFF2-40B4-BE49-F238E27FC236}">
              <a16:creationId xmlns:a16="http://schemas.microsoft.com/office/drawing/2014/main" id="{00000000-0008-0000-0000-000075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04" name="TextBox 4703">
          <a:extLst>
            <a:ext uri="{FF2B5EF4-FFF2-40B4-BE49-F238E27FC236}">
              <a16:creationId xmlns:a16="http://schemas.microsoft.com/office/drawing/2014/main" id="{00000000-0008-0000-0000-000076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05" name="TextBox 4704">
          <a:extLst>
            <a:ext uri="{FF2B5EF4-FFF2-40B4-BE49-F238E27FC236}">
              <a16:creationId xmlns:a16="http://schemas.microsoft.com/office/drawing/2014/main" id="{00000000-0008-0000-0000-000077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06" name="TextBox 4705">
          <a:extLst>
            <a:ext uri="{FF2B5EF4-FFF2-40B4-BE49-F238E27FC236}">
              <a16:creationId xmlns:a16="http://schemas.microsoft.com/office/drawing/2014/main" id="{00000000-0008-0000-0000-000078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07" name="TextBox 4706">
          <a:extLst>
            <a:ext uri="{FF2B5EF4-FFF2-40B4-BE49-F238E27FC236}">
              <a16:creationId xmlns:a16="http://schemas.microsoft.com/office/drawing/2014/main" id="{00000000-0008-0000-0000-000079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08" name="TextBox 4707">
          <a:extLst>
            <a:ext uri="{FF2B5EF4-FFF2-40B4-BE49-F238E27FC236}">
              <a16:creationId xmlns:a16="http://schemas.microsoft.com/office/drawing/2014/main" id="{00000000-0008-0000-0000-00007A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09" name="TextBox 4708">
          <a:extLst>
            <a:ext uri="{FF2B5EF4-FFF2-40B4-BE49-F238E27FC236}">
              <a16:creationId xmlns:a16="http://schemas.microsoft.com/office/drawing/2014/main" id="{00000000-0008-0000-0000-00007B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10" name="TextBox 4709">
          <a:extLst>
            <a:ext uri="{FF2B5EF4-FFF2-40B4-BE49-F238E27FC236}">
              <a16:creationId xmlns:a16="http://schemas.microsoft.com/office/drawing/2014/main" id="{00000000-0008-0000-0000-00007C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11" name="TextBox 4710">
          <a:extLst>
            <a:ext uri="{FF2B5EF4-FFF2-40B4-BE49-F238E27FC236}">
              <a16:creationId xmlns:a16="http://schemas.microsoft.com/office/drawing/2014/main" id="{00000000-0008-0000-0000-00007D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12" name="TextBox 4711">
          <a:extLst>
            <a:ext uri="{FF2B5EF4-FFF2-40B4-BE49-F238E27FC236}">
              <a16:creationId xmlns:a16="http://schemas.microsoft.com/office/drawing/2014/main" id="{00000000-0008-0000-0000-00007E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13" name="TextBox 4712">
          <a:extLst>
            <a:ext uri="{FF2B5EF4-FFF2-40B4-BE49-F238E27FC236}">
              <a16:creationId xmlns:a16="http://schemas.microsoft.com/office/drawing/2014/main" id="{00000000-0008-0000-0000-00007F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14" name="TextBox 4713">
          <a:extLst>
            <a:ext uri="{FF2B5EF4-FFF2-40B4-BE49-F238E27FC236}">
              <a16:creationId xmlns:a16="http://schemas.microsoft.com/office/drawing/2014/main" id="{00000000-0008-0000-0000-000080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15" name="TextBox 4714">
          <a:extLst>
            <a:ext uri="{FF2B5EF4-FFF2-40B4-BE49-F238E27FC236}">
              <a16:creationId xmlns:a16="http://schemas.microsoft.com/office/drawing/2014/main" id="{00000000-0008-0000-0000-000081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16" name="TextBox 4715">
          <a:extLst>
            <a:ext uri="{FF2B5EF4-FFF2-40B4-BE49-F238E27FC236}">
              <a16:creationId xmlns:a16="http://schemas.microsoft.com/office/drawing/2014/main" id="{00000000-0008-0000-0000-000082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17" name="TextBox 4716">
          <a:extLst>
            <a:ext uri="{FF2B5EF4-FFF2-40B4-BE49-F238E27FC236}">
              <a16:creationId xmlns:a16="http://schemas.microsoft.com/office/drawing/2014/main" id="{00000000-0008-0000-0000-000083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18" name="TextBox 4717">
          <a:extLst>
            <a:ext uri="{FF2B5EF4-FFF2-40B4-BE49-F238E27FC236}">
              <a16:creationId xmlns:a16="http://schemas.microsoft.com/office/drawing/2014/main" id="{00000000-0008-0000-0000-000084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19" name="TextBox 4718">
          <a:extLst>
            <a:ext uri="{FF2B5EF4-FFF2-40B4-BE49-F238E27FC236}">
              <a16:creationId xmlns:a16="http://schemas.microsoft.com/office/drawing/2014/main" id="{00000000-0008-0000-0000-000085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20" name="TextBox 4719">
          <a:extLst>
            <a:ext uri="{FF2B5EF4-FFF2-40B4-BE49-F238E27FC236}">
              <a16:creationId xmlns:a16="http://schemas.microsoft.com/office/drawing/2014/main" id="{00000000-0008-0000-0000-000086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21" name="TextBox 4720">
          <a:extLst>
            <a:ext uri="{FF2B5EF4-FFF2-40B4-BE49-F238E27FC236}">
              <a16:creationId xmlns:a16="http://schemas.microsoft.com/office/drawing/2014/main" id="{00000000-0008-0000-0000-000087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22" name="TextBox 4721">
          <a:extLst>
            <a:ext uri="{FF2B5EF4-FFF2-40B4-BE49-F238E27FC236}">
              <a16:creationId xmlns:a16="http://schemas.microsoft.com/office/drawing/2014/main" id="{00000000-0008-0000-0000-000088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23" name="TextBox 4722">
          <a:extLst>
            <a:ext uri="{FF2B5EF4-FFF2-40B4-BE49-F238E27FC236}">
              <a16:creationId xmlns:a16="http://schemas.microsoft.com/office/drawing/2014/main" id="{00000000-0008-0000-0000-000089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24" name="TextBox 4723">
          <a:extLst>
            <a:ext uri="{FF2B5EF4-FFF2-40B4-BE49-F238E27FC236}">
              <a16:creationId xmlns:a16="http://schemas.microsoft.com/office/drawing/2014/main" id="{00000000-0008-0000-0000-00008A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25" name="TextBox 4724">
          <a:extLst>
            <a:ext uri="{FF2B5EF4-FFF2-40B4-BE49-F238E27FC236}">
              <a16:creationId xmlns:a16="http://schemas.microsoft.com/office/drawing/2014/main" id="{00000000-0008-0000-0000-00008B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26" name="TextBox 4725">
          <a:extLst>
            <a:ext uri="{FF2B5EF4-FFF2-40B4-BE49-F238E27FC236}">
              <a16:creationId xmlns:a16="http://schemas.microsoft.com/office/drawing/2014/main" id="{00000000-0008-0000-0000-00008C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27" name="TextBox 4726">
          <a:extLst>
            <a:ext uri="{FF2B5EF4-FFF2-40B4-BE49-F238E27FC236}">
              <a16:creationId xmlns:a16="http://schemas.microsoft.com/office/drawing/2014/main" id="{00000000-0008-0000-0000-00008D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28" name="TextBox 4727">
          <a:extLst>
            <a:ext uri="{FF2B5EF4-FFF2-40B4-BE49-F238E27FC236}">
              <a16:creationId xmlns:a16="http://schemas.microsoft.com/office/drawing/2014/main" id="{00000000-0008-0000-0000-00008E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29" name="TextBox 4728">
          <a:extLst>
            <a:ext uri="{FF2B5EF4-FFF2-40B4-BE49-F238E27FC236}">
              <a16:creationId xmlns:a16="http://schemas.microsoft.com/office/drawing/2014/main" id="{00000000-0008-0000-0000-00008F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30" name="TextBox 4729">
          <a:extLst>
            <a:ext uri="{FF2B5EF4-FFF2-40B4-BE49-F238E27FC236}">
              <a16:creationId xmlns:a16="http://schemas.microsoft.com/office/drawing/2014/main" id="{00000000-0008-0000-0000-000090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31" name="TextBox 4730">
          <a:extLst>
            <a:ext uri="{FF2B5EF4-FFF2-40B4-BE49-F238E27FC236}">
              <a16:creationId xmlns:a16="http://schemas.microsoft.com/office/drawing/2014/main" id="{00000000-0008-0000-0000-000091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32" name="TextBox 4731">
          <a:extLst>
            <a:ext uri="{FF2B5EF4-FFF2-40B4-BE49-F238E27FC236}">
              <a16:creationId xmlns:a16="http://schemas.microsoft.com/office/drawing/2014/main" id="{00000000-0008-0000-0000-000092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33" name="TextBox 4732">
          <a:extLst>
            <a:ext uri="{FF2B5EF4-FFF2-40B4-BE49-F238E27FC236}">
              <a16:creationId xmlns:a16="http://schemas.microsoft.com/office/drawing/2014/main" id="{00000000-0008-0000-0000-000093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34" name="TextBox 4733">
          <a:extLst>
            <a:ext uri="{FF2B5EF4-FFF2-40B4-BE49-F238E27FC236}">
              <a16:creationId xmlns:a16="http://schemas.microsoft.com/office/drawing/2014/main" id="{00000000-0008-0000-0000-000094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35" name="TextBox 4734">
          <a:extLst>
            <a:ext uri="{FF2B5EF4-FFF2-40B4-BE49-F238E27FC236}">
              <a16:creationId xmlns:a16="http://schemas.microsoft.com/office/drawing/2014/main" id="{00000000-0008-0000-0000-000095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36" name="TextBox 4735">
          <a:extLst>
            <a:ext uri="{FF2B5EF4-FFF2-40B4-BE49-F238E27FC236}">
              <a16:creationId xmlns:a16="http://schemas.microsoft.com/office/drawing/2014/main" id="{00000000-0008-0000-0000-000096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37" name="TextBox 4736">
          <a:extLst>
            <a:ext uri="{FF2B5EF4-FFF2-40B4-BE49-F238E27FC236}">
              <a16:creationId xmlns:a16="http://schemas.microsoft.com/office/drawing/2014/main" id="{00000000-0008-0000-0000-000097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38" name="TextBox 4737">
          <a:extLst>
            <a:ext uri="{FF2B5EF4-FFF2-40B4-BE49-F238E27FC236}">
              <a16:creationId xmlns:a16="http://schemas.microsoft.com/office/drawing/2014/main" id="{00000000-0008-0000-0000-000098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39" name="TextBox 4738">
          <a:extLst>
            <a:ext uri="{FF2B5EF4-FFF2-40B4-BE49-F238E27FC236}">
              <a16:creationId xmlns:a16="http://schemas.microsoft.com/office/drawing/2014/main" id="{00000000-0008-0000-0000-000099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40" name="TextBox 4739">
          <a:extLst>
            <a:ext uri="{FF2B5EF4-FFF2-40B4-BE49-F238E27FC236}">
              <a16:creationId xmlns:a16="http://schemas.microsoft.com/office/drawing/2014/main" id="{00000000-0008-0000-0000-00009A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41" name="TextBox 4740">
          <a:extLst>
            <a:ext uri="{FF2B5EF4-FFF2-40B4-BE49-F238E27FC236}">
              <a16:creationId xmlns:a16="http://schemas.microsoft.com/office/drawing/2014/main" id="{00000000-0008-0000-0000-00009B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42" name="TextBox 4741">
          <a:extLst>
            <a:ext uri="{FF2B5EF4-FFF2-40B4-BE49-F238E27FC236}">
              <a16:creationId xmlns:a16="http://schemas.microsoft.com/office/drawing/2014/main" id="{00000000-0008-0000-0000-00009C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43" name="TextBox 4742">
          <a:extLst>
            <a:ext uri="{FF2B5EF4-FFF2-40B4-BE49-F238E27FC236}">
              <a16:creationId xmlns:a16="http://schemas.microsoft.com/office/drawing/2014/main" id="{00000000-0008-0000-0000-00009D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44" name="TextBox 4743">
          <a:extLst>
            <a:ext uri="{FF2B5EF4-FFF2-40B4-BE49-F238E27FC236}">
              <a16:creationId xmlns:a16="http://schemas.microsoft.com/office/drawing/2014/main" id="{00000000-0008-0000-0000-00009E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45" name="TextBox 4744">
          <a:extLst>
            <a:ext uri="{FF2B5EF4-FFF2-40B4-BE49-F238E27FC236}">
              <a16:creationId xmlns:a16="http://schemas.microsoft.com/office/drawing/2014/main" id="{00000000-0008-0000-0000-00009F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46" name="TextBox 4745">
          <a:extLst>
            <a:ext uri="{FF2B5EF4-FFF2-40B4-BE49-F238E27FC236}">
              <a16:creationId xmlns:a16="http://schemas.microsoft.com/office/drawing/2014/main" id="{00000000-0008-0000-0000-0000A0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47" name="TextBox 4746">
          <a:extLst>
            <a:ext uri="{FF2B5EF4-FFF2-40B4-BE49-F238E27FC236}">
              <a16:creationId xmlns:a16="http://schemas.microsoft.com/office/drawing/2014/main" id="{00000000-0008-0000-0000-0000A1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48" name="TextBox 4747">
          <a:extLst>
            <a:ext uri="{FF2B5EF4-FFF2-40B4-BE49-F238E27FC236}">
              <a16:creationId xmlns:a16="http://schemas.microsoft.com/office/drawing/2014/main" id="{00000000-0008-0000-0000-0000A2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49" name="TextBox 4748">
          <a:extLst>
            <a:ext uri="{FF2B5EF4-FFF2-40B4-BE49-F238E27FC236}">
              <a16:creationId xmlns:a16="http://schemas.microsoft.com/office/drawing/2014/main" id="{00000000-0008-0000-0000-0000A3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50" name="TextBox 4749">
          <a:extLst>
            <a:ext uri="{FF2B5EF4-FFF2-40B4-BE49-F238E27FC236}">
              <a16:creationId xmlns:a16="http://schemas.microsoft.com/office/drawing/2014/main" id="{00000000-0008-0000-0000-0000A4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51" name="TextBox 4750">
          <a:extLst>
            <a:ext uri="{FF2B5EF4-FFF2-40B4-BE49-F238E27FC236}">
              <a16:creationId xmlns:a16="http://schemas.microsoft.com/office/drawing/2014/main" id="{00000000-0008-0000-0000-0000A5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52" name="TextBox 4751">
          <a:extLst>
            <a:ext uri="{FF2B5EF4-FFF2-40B4-BE49-F238E27FC236}">
              <a16:creationId xmlns:a16="http://schemas.microsoft.com/office/drawing/2014/main" id="{00000000-0008-0000-0000-0000A6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53" name="TextBox 4752">
          <a:extLst>
            <a:ext uri="{FF2B5EF4-FFF2-40B4-BE49-F238E27FC236}">
              <a16:creationId xmlns:a16="http://schemas.microsoft.com/office/drawing/2014/main" id="{00000000-0008-0000-0000-0000A7010000}"/>
            </a:ext>
          </a:extLst>
        </xdr:cNvPr>
        <xdr:cNvSpPr txBox="1"/>
      </xdr:nvSpPr>
      <xdr:spPr>
        <a:xfrm>
          <a:off x="826770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54" name="TextBox 4753">
          <a:extLst>
            <a:ext uri="{FF2B5EF4-FFF2-40B4-BE49-F238E27FC236}">
              <a16:creationId xmlns:a16="http://schemas.microsoft.com/office/drawing/2014/main" id="{00000000-0008-0000-0000-0000A8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55" name="TextBox 4754">
          <a:extLst>
            <a:ext uri="{FF2B5EF4-FFF2-40B4-BE49-F238E27FC236}">
              <a16:creationId xmlns:a16="http://schemas.microsoft.com/office/drawing/2014/main" id="{00000000-0008-0000-0000-0000A9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56" name="TextBox 4755">
          <a:extLst>
            <a:ext uri="{FF2B5EF4-FFF2-40B4-BE49-F238E27FC236}">
              <a16:creationId xmlns:a16="http://schemas.microsoft.com/office/drawing/2014/main" id="{00000000-0008-0000-0000-0000AA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57" name="TextBox 4756">
          <a:extLst>
            <a:ext uri="{FF2B5EF4-FFF2-40B4-BE49-F238E27FC236}">
              <a16:creationId xmlns:a16="http://schemas.microsoft.com/office/drawing/2014/main" id="{00000000-0008-0000-0000-0000AB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58" name="TextBox 4757">
          <a:extLst>
            <a:ext uri="{FF2B5EF4-FFF2-40B4-BE49-F238E27FC236}">
              <a16:creationId xmlns:a16="http://schemas.microsoft.com/office/drawing/2014/main" id="{00000000-0008-0000-0000-0000AC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59" name="TextBox 4758">
          <a:extLst>
            <a:ext uri="{FF2B5EF4-FFF2-40B4-BE49-F238E27FC236}">
              <a16:creationId xmlns:a16="http://schemas.microsoft.com/office/drawing/2014/main" id="{00000000-0008-0000-0000-0000AD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60" name="TextBox 4759">
          <a:extLst>
            <a:ext uri="{FF2B5EF4-FFF2-40B4-BE49-F238E27FC236}">
              <a16:creationId xmlns:a16="http://schemas.microsoft.com/office/drawing/2014/main" id="{00000000-0008-0000-0000-0000AE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761" name="TextBox 4760">
          <a:extLst>
            <a:ext uri="{FF2B5EF4-FFF2-40B4-BE49-F238E27FC236}">
              <a16:creationId xmlns:a16="http://schemas.microsoft.com/office/drawing/2014/main" id="{00000000-0008-0000-0000-0000AF010000}"/>
            </a:ext>
          </a:extLst>
        </xdr:cNvPr>
        <xdr:cNvSpPr txBox="1"/>
      </xdr:nvSpPr>
      <xdr:spPr>
        <a:xfrm>
          <a:off x="12580620" y="3477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762" name="TextBox 4761">
          <a:extLst>
            <a:ext uri="{FF2B5EF4-FFF2-40B4-BE49-F238E27FC236}">
              <a16:creationId xmlns:a16="http://schemas.microsoft.com/office/drawing/2014/main" id="{00000000-0008-0000-0000-0000B001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763" name="TextBox 4762">
          <a:extLst>
            <a:ext uri="{FF2B5EF4-FFF2-40B4-BE49-F238E27FC236}">
              <a16:creationId xmlns:a16="http://schemas.microsoft.com/office/drawing/2014/main" id="{00000000-0008-0000-0000-0000B101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764" name="TextBox 4763">
          <a:extLst>
            <a:ext uri="{FF2B5EF4-FFF2-40B4-BE49-F238E27FC236}">
              <a16:creationId xmlns:a16="http://schemas.microsoft.com/office/drawing/2014/main" id="{00000000-0008-0000-0000-0000B201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765" name="TextBox 4764">
          <a:extLst>
            <a:ext uri="{FF2B5EF4-FFF2-40B4-BE49-F238E27FC236}">
              <a16:creationId xmlns:a16="http://schemas.microsoft.com/office/drawing/2014/main" id="{00000000-0008-0000-0000-0000B301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766" name="TextBox 4765">
          <a:extLst>
            <a:ext uri="{FF2B5EF4-FFF2-40B4-BE49-F238E27FC236}">
              <a16:creationId xmlns:a16="http://schemas.microsoft.com/office/drawing/2014/main" id="{00000000-0008-0000-0000-0000B401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767" name="TextBox 4766">
          <a:extLst>
            <a:ext uri="{FF2B5EF4-FFF2-40B4-BE49-F238E27FC236}">
              <a16:creationId xmlns:a16="http://schemas.microsoft.com/office/drawing/2014/main" id="{00000000-0008-0000-0000-0000B501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768" name="TextBox 4767">
          <a:extLst>
            <a:ext uri="{FF2B5EF4-FFF2-40B4-BE49-F238E27FC236}">
              <a16:creationId xmlns:a16="http://schemas.microsoft.com/office/drawing/2014/main" id="{00000000-0008-0000-0000-0000B601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769" name="TextBox 4768">
          <a:extLst>
            <a:ext uri="{FF2B5EF4-FFF2-40B4-BE49-F238E27FC236}">
              <a16:creationId xmlns:a16="http://schemas.microsoft.com/office/drawing/2014/main" id="{00000000-0008-0000-0000-0000B701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770" name="TextBox 4769">
          <a:extLst>
            <a:ext uri="{FF2B5EF4-FFF2-40B4-BE49-F238E27FC236}">
              <a16:creationId xmlns:a16="http://schemas.microsoft.com/office/drawing/2014/main" id="{00000000-0008-0000-0000-0000B801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771" name="TextBox 4770">
          <a:extLst>
            <a:ext uri="{FF2B5EF4-FFF2-40B4-BE49-F238E27FC236}">
              <a16:creationId xmlns:a16="http://schemas.microsoft.com/office/drawing/2014/main" id="{00000000-0008-0000-0000-0000B9010000}"/>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72" name="TextBox 4771">
          <a:extLst>
            <a:ext uri="{FF2B5EF4-FFF2-40B4-BE49-F238E27FC236}">
              <a16:creationId xmlns:a16="http://schemas.microsoft.com/office/drawing/2014/main" id="{00000000-0008-0000-0000-0000BA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73" name="TextBox 4772">
          <a:extLst>
            <a:ext uri="{FF2B5EF4-FFF2-40B4-BE49-F238E27FC236}">
              <a16:creationId xmlns:a16="http://schemas.microsoft.com/office/drawing/2014/main" id="{00000000-0008-0000-0000-0000BB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74" name="TextBox 4773">
          <a:extLst>
            <a:ext uri="{FF2B5EF4-FFF2-40B4-BE49-F238E27FC236}">
              <a16:creationId xmlns:a16="http://schemas.microsoft.com/office/drawing/2014/main" id="{00000000-0008-0000-0000-0000BC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75" name="TextBox 4774">
          <a:extLst>
            <a:ext uri="{FF2B5EF4-FFF2-40B4-BE49-F238E27FC236}">
              <a16:creationId xmlns:a16="http://schemas.microsoft.com/office/drawing/2014/main" id="{00000000-0008-0000-0000-0000BD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76" name="TextBox 4775">
          <a:extLst>
            <a:ext uri="{FF2B5EF4-FFF2-40B4-BE49-F238E27FC236}">
              <a16:creationId xmlns:a16="http://schemas.microsoft.com/office/drawing/2014/main" id="{00000000-0008-0000-0000-0000BE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77" name="TextBox 4776">
          <a:extLst>
            <a:ext uri="{FF2B5EF4-FFF2-40B4-BE49-F238E27FC236}">
              <a16:creationId xmlns:a16="http://schemas.microsoft.com/office/drawing/2014/main" id="{00000000-0008-0000-0000-0000BF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78" name="TextBox 4777">
          <a:extLst>
            <a:ext uri="{FF2B5EF4-FFF2-40B4-BE49-F238E27FC236}">
              <a16:creationId xmlns:a16="http://schemas.microsoft.com/office/drawing/2014/main" id="{00000000-0008-0000-0000-0000C0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79" name="TextBox 4778">
          <a:extLst>
            <a:ext uri="{FF2B5EF4-FFF2-40B4-BE49-F238E27FC236}">
              <a16:creationId xmlns:a16="http://schemas.microsoft.com/office/drawing/2014/main" id="{00000000-0008-0000-0000-0000C1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80" name="TextBox 4779">
          <a:extLst>
            <a:ext uri="{FF2B5EF4-FFF2-40B4-BE49-F238E27FC236}">
              <a16:creationId xmlns:a16="http://schemas.microsoft.com/office/drawing/2014/main" id="{00000000-0008-0000-0000-0000C2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81" name="TextBox 4780">
          <a:extLst>
            <a:ext uri="{FF2B5EF4-FFF2-40B4-BE49-F238E27FC236}">
              <a16:creationId xmlns:a16="http://schemas.microsoft.com/office/drawing/2014/main" id="{00000000-0008-0000-0000-0000C3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82" name="TextBox 4781">
          <a:extLst>
            <a:ext uri="{FF2B5EF4-FFF2-40B4-BE49-F238E27FC236}">
              <a16:creationId xmlns:a16="http://schemas.microsoft.com/office/drawing/2014/main" id="{00000000-0008-0000-0000-0000C4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83" name="TextBox 4782">
          <a:extLst>
            <a:ext uri="{FF2B5EF4-FFF2-40B4-BE49-F238E27FC236}">
              <a16:creationId xmlns:a16="http://schemas.microsoft.com/office/drawing/2014/main" id="{00000000-0008-0000-0000-0000C5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84" name="TextBox 4783">
          <a:extLst>
            <a:ext uri="{FF2B5EF4-FFF2-40B4-BE49-F238E27FC236}">
              <a16:creationId xmlns:a16="http://schemas.microsoft.com/office/drawing/2014/main" id="{00000000-0008-0000-0000-0000C6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85" name="TextBox 4784">
          <a:extLst>
            <a:ext uri="{FF2B5EF4-FFF2-40B4-BE49-F238E27FC236}">
              <a16:creationId xmlns:a16="http://schemas.microsoft.com/office/drawing/2014/main" id="{00000000-0008-0000-0000-0000C7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86" name="TextBox 4785">
          <a:extLst>
            <a:ext uri="{FF2B5EF4-FFF2-40B4-BE49-F238E27FC236}">
              <a16:creationId xmlns:a16="http://schemas.microsoft.com/office/drawing/2014/main" id="{00000000-0008-0000-0000-0000C8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87" name="TextBox 4786">
          <a:extLst>
            <a:ext uri="{FF2B5EF4-FFF2-40B4-BE49-F238E27FC236}">
              <a16:creationId xmlns:a16="http://schemas.microsoft.com/office/drawing/2014/main" id="{00000000-0008-0000-0000-0000C9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88" name="TextBox 4787">
          <a:extLst>
            <a:ext uri="{FF2B5EF4-FFF2-40B4-BE49-F238E27FC236}">
              <a16:creationId xmlns:a16="http://schemas.microsoft.com/office/drawing/2014/main" id="{00000000-0008-0000-0000-0000CA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89" name="TextBox 4788">
          <a:extLst>
            <a:ext uri="{FF2B5EF4-FFF2-40B4-BE49-F238E27FC236}">
              <a16:creationId xmlns:a16="http://schemas.microsoft.com/office/drawing/2014/main" id="{00000000-0008-0000-0000-0000CB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90" name="TextBox 4789">
          <a:extLst>
            <a:ext uri="{FF2B5EF4-FFF2-40B4-BE49-F238E27FC236}">
              <a16:creationId xmlns:a16="http://schemas.microsoft.com/office/drawing/2014/main" id="{00000000-0008-0000-0000-0000CC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91" name="TextBox 4790">
          <a:extLst>
            <a:ext uri="{FF2B5EF4-FFF2-40B4-BE49-F238E27FC236}">
              <a16:creationId xmlns:a16="http://schemas.microsoft.com/office/drawing/2014/main" id="{00000000-0008-0000-0000-0000CD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92" name="TextBox 4791">
          <a:extLst>
            <a:ext uri="{FF2B5EF4-FFF2-40B4-BE49-F238E27FC236}">
              <a16:creationId xmlns:a16="http://schemas.microsoft.com/office/drawing/2014/main" id="{00000000-0008-0000-0000-0000CE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93" name="TextBox 4792">
          <a:extLst>
            <a:ext uri="{FF2B5EF4-FFF2-40B4-BE49-F238E27FC236}">
              <a16:creationId xmlns:a16="http://schemas.microsoft.com/office/drawing/2014/main" id="{00000000-0008-0000-0000-0000CF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94" name="TextBox 4793">
          <a:extLst>
            <a:ext uri="{FF2B5EF4-FFF2-40B4-BE49-F238E27FC236}">
              <a16:creationId xmlns:a16="http://schemas.microsoft.com/office/drawing/2014/main" id="{00000000-0008-0000-0000-0000D0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95" name="TextBox 4794">
          <a:extLst>
            <a:ext uri="{FF2B5EF4-FFF2-40B4-BE49-F238E27FC236}">
              <a16:creationId xmlns:a16="http://schemas.microsoft.com/office/drawing/2014/main" id="{00000000-0008-0000-0000-0000D1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96" name="TextBox 4795">
          <a:extLst>
            <a:ext uri="{FF2B5EF4-FFF2-40B4-BE49-F238E27FC236}">
              <a16:creationId xmlns:a16="http://schemas.microsoft.com/office/drawing/2014/main" id="{00000000-0008-0000-0000-0000D2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97" name="TextBox 4796">
          <a:extLst>
            <a:ext uri="{FF2B5EF4-FFF2-40B4-BE49-F238E27FC236}">
              <a16:creationId xmlns:a16="http://schemas.microsoft.com/office/drawing/2014/main" id="{00000000-0008-0000-0000-0000D3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98" name="TextBox 4797">
          <a:extLst>
            <a:ext uri="{FF2B5EF4-FFF2-40B4-BE49-F238E27FC236}">
              <a16:creationId xmlns:a16="http://schemas.microsoft.com/office/drawing/2014/main" id="{00000000-0008-0000-0000-0000D4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799" name="TextBox 4798">
          <a:extLst>
            <a:ext uri="{FF2B5EF4-FFF2-40B4-BE49-F238E27FC236}">
              <a16:creationId xmlns:a16="http://schemas.microsoft.com/office/drawing/2014/main" id="{00000000-0008-0000-0000-0000D5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00" name="TextBox 4799">
          <a:extLst>
            <a:ext uri="{FF2B5EF4-FFF2-40B4-BE49-F238E27FC236}">
              <a16:creationId xmlns:a16="http://schemas.microsoft.com/office/drawing/2014/main" id="{00000000-0008-0000-0000-0000D6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01" name="TextBox 4800">
          <a:extLst>
            <a:ext uri="{FF2B5EF4-FFF2-40B4-BE49-F238E27FC236}">
              <a16:creationId xmlns:a16="http://schemas.microsoft.com/office/drawing/2014/main" id="{00000000-0008-0000-0000-0000D7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02" name="TextBox 4801">
          <a:extLst>
            <a:ext uri="{FF2B5EF4-FFF2-40B4-BE49-F238E27FC236}">
              <a16:creationId xmlns:a16="http://schemas.microsoft.com/office/drawing/2014/main" id="{00000000-0008-0000-0000-0000D8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03" name="TextBox 4802">
          <a:extLst>
            <a:ext uri="{FF2B5EF4-FFF2-40B4-BE49-F238E27FC236}">
              <a16:creationId xmlns:a16="http://schemas.microsoft.com/office/drawing/2014/main" id="{00000000-0008-0000-0000-0000D9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04" name="TextBox 4803">
          <a:extLst>
            <a:ext uri="{FF2B5EF4-FFF2-40B4-BE49-F238E27FC236}">
              <a16:creationId xmlns:a16="http://schemas.microsoft.com/office/drawing/2014/main" id="{00000000-0008-0000-0000-0000DA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05" name="TextBox 4804">
          <a:extLst>
            <a:ext uri="{FF2B5EF4-FFF2-40B4-BE49-F238E27FC236}">
              <a16:creationId xmlns:a16="http://schemas.microsoft.com/office/drawing/2014/main" id="{00000000-0008-0000-0000-0000DB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06" name="TextBox 4805">
          <a:extLst>
            <a:ext uri="{FF2B5EF4-FFF2-40B4-BE49-F238E27FC236}">
              <a16:creationId xmlns:a16="http://schemas.microsoft.com/office/drawing/2014/main" id="{00000000-0008-0000-0000-0000DC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07" name="TextBox 4806">
          <a:extLst>
            <a:ext uri="{FF2B5EF4-FFF2-40B4-BE49-F238E27FC236}">
              <a16:creationId xmlns:a16="http://schemas.microsoft.com/office/drawing/2014/main" id="{00000000-0008-0000-0000-0000DD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08" name="TextBox 4807">
          <a:extLst>
            <a:ext uri="{FF2B5EF4-FFF2-40B4-BE49-F238E27FC236}">
              <a16:creationId xmlns:a16="http://schemas.microsoft.com/office/drawing/2014/main" id="{00000000-0008-0000-0000-0000DE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09" name="TextBox 4808">
          <a:extLst>
            <a:ext uri="{FF2B5EF4-FFF2-40B4-BE49-F238E27FC236}">
              <a16:creationId xmlns:a16="http://schemas.microsoft.com/office/drawing/2014/main" id="{00000000-0008-0000-0000-0000DF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10" name="TextBox 4809">
          <a:extLst>
            <a:ext uri="{FF2B5EF4-FFF2-40B4-BE49-F238E27FC236}">
              <a16:creationId xmlns:a16="http://schemas.microsoft.com/office/drawing/2014/main" id="{00000000-0008-0000-0000-0000E0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11" name="TextBox 4810">
          <a:extLst>
            <a:ext uri="{FF2B5EF4-FFF2-40B4-BE49-F238E27FC236}">
              <a16:creationId xmlns:a16="http://schemas.microsoft.com/office/drawing/2014/main" id="{00000000-0008-0000-0000-0000E1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12" name="TextBox 4811">
          <a:extLst>
            <a:ext uri="{FF2B5EF4-FFF2-40B4-BE49-F238E27FC236}">
              <a16:creationId xmlns:a16="http://schemas.microsoft.com/office/drawing/2014/main" id="{00000000-0008-0000-0000-0000E2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13" name="TextBox 4812">
          <a:extLst>
            <a:ext uri="{FF2B5EF4-FFF2-40B4-BE49-F238E27FC236}">
              <a16:creationId xmlns:a16="http://schemas.microsoft.com/office/drawing/2014/main" id="{00000000-0008-0000-0000-0000E3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14" name="TextBox 4813">
          <a:extLst>
            <a:ext uri="{FF2B5EF4-FFF2-40B4-BE49-F238E27FC236}">
              <a16:creationId xmlns:a16="http://schemas.microsoft.com/office/drawing/2014/main" id="{00000000-0008-0000-0000-0000E4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15" name="TextBox 4814">
          <a:extLst>
            <a:ext uri="{FF2B5EF4-FFF2-40B4-BE49-F238E27FC236}">
              <a16:creationId xmlns:a16="http://schemas.microsoft.com/office/drawing/2014/main" id="{00000000-0008-0000-0000-0000E5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16" name="TextBox 4815">
          <a:extLst>
            <a:ext uri="{FF2B5EF4-FFF2-40B4-BE49-F238E27FC236}">
              <a16:creationId xmlns:a16="http://schemas.microsoft.com/office/drawing/2014/main" id="{00000000-0008-0000-0000-0000E6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17" name="TextBox 4816">
          <a:extLst>
            <a:ext uri="{FF2B5EF4-FFF2-40B4-BE49-F238E27FC236}">
              <a16:creationId xmlns:a16="http://schemas.microsoft.com/office/drawing/2014/main" id="{00000000-0008-0000-0000-0000E7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18" name="TextBox 4817">
          <a:extLst>
            <a:ext uri="{FF2B5EF4-FFF2-40B4-BE49-F238E27FC236}">
              <a16:creationId xmlns:a16="http://schemas.microsoft.com/office/drawing/2014/main" id="{00000000-0008-0000-0000-0000E8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19" name="TextBox 4818">
          <a:extLst>
            <a:ext uri="{FF2B5EF4-FFF2-40B4-BE49-F238E27FC236}">
              <a16:creationId xmlns:a16="http://schemas.microsoft.com/office/drawing/2014/main" id="{00000000-0008-0000-0000-0000E9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20" name="TextBox 4819">
          <a:extLst>
            <a:ext uri="{FF2B5EF4-FFF2-40B4-BE49-F238E27FC236}">
              <a16:creationId xmlns:a16="http://schemas.microsoft.com/office/drawing/2014/main" id="{00000000-0008-0000-0000-0000EA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21" name="TextBox 4820">
          <a:extLst>
            <a:ext uri="{FF2B5EF4-FFF2-40B4-BE49-F238E27FC236}">
              <a16:creationId xmlns:a16="http://schemas.microsoft.com/office/drawing/2014/main" id="{00000000-0008-0000-0000-0000EB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22" name="TextBox 4821">
          <a:extLst>
            <a:ext uri="{FF2B5EF4-FFF2-40B4-BE49-F238E27FC236}">
              <a16:creationId xmlns:a16="http://schemas.microsoft.com/office/drawing/2014/main" id="{00000000-0008-0000-0000-0000EC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23" name="TextBox 4822">
          <a:extLst>
            <a:ext uri="{FF2B5EF4-FFF2-40B4-BE49-F238E27FC236}">
              <a16:creationId xmlns:a16="http://schemas.microsoft.com/office/drawing/2014/main" id="{00000000-0008-0000-0000-0000ED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24" name="TextBox 4823">
          <a:extLst>
            <a:ext uri="{FF2B5EF4-FFF2-40B4-BE49-F238E27FC236}">
              <a16:creationId xmlns:a16="http://schemas.microsoft.com/office/drawing/2014/main" id="{00000000-0008-0000-0000-0000EE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25" name="TextBox 4824">
          <a:extLst>
            <a:ext uri="{FF2B5EF4-FFF2-40B4-BE49-F238E27FC236}">
              <a16:creationId xmlns:a16="http://schemas.microsoft.com/office/drawing/2014/main" id="{00000000-0008-0000-0000-0000EF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26" name="TextBox 4825">
          <a:extLst>
            <a:ext uri="{FF2B5EF4-FFF2-40B4-BE49-F238E27FC236}">
              <a16:creationId xmlns:a16="http://schemas.microsoft.com/office/drawing/2014/main" id="{00000000-0008-0000-0000-0000F0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27" name="TextBox 4826">
          <a:extLst>
            <a:ext uri="{FF2B5EF4-FFF2-40B4-BE49-F238E27FC236}">
              <a16:creationId xmlns:a16="http://schemas.microsoft.com/office/drawing/2014/main" id="{00000000-0008-0000-0000-0000F1010000}"/>
            </a:ext>
          </a:extLst>
        </xdr:cNvPr>
        <xdr:cNvSpPr txBox="1"/>
      </xdr:nvSpPr>
      <xdr:spPr>
        <a:xfrm>
          <a:off x="826770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28" name="TextBox 4827">
          <a:extLst>
            <a:ext uri="{FF2B5EF4-FFF2-40B4-BE49-F238E27FC236}">
              <a16:creationId xmlns:a16="http://schemas.microsoft.com/office/drawing/2014/main" id="{00000000-0008-0000-0000-0000F2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29" name="TextBox 4828">
          <a:extLst>
            <a:ext uri="{FF2B5EF4-FFF2-40B4-BE49-F238E27FC236}">
              <a16:creationId xmlns:a16="http://schemas.microsoft.com/office/drawing/2014/main" id="{00000000-0008-0000-0000-0000F3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30" name="TextBox 4829">
          <a:extLst>
            <a:ext uri="{FF2B5EF4-FFF2-40B4-BE49-F238E27FC236}">
              <a16:creationId xmlns:a16="http://schemas.microsoft.com/office/drawing/2014/main" id="{00000000-0008-0000-0000-0000F4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31" name="TextBox 4830">
          <a:extLst>
            <a:ext uri="{FF2B5EF4-FFF2-40B4-BE49-F238E27FC236}">
              <a16:creationId xmlns:a16="http://schemas.microsoft.com/office/drawing/2014/main" id="{00000000-0008-0000-0000-0000F5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32" name="TextBox 4831">
          <a:extLst>
            <a:ext uri="{FF2B5EF4-FFF2-40B4-BE49-F238E27FC236}">
              <a16:creationId xmlns:a16="http://schemas.microsoft.com/office/drawing/2014/main" id="{00000000-0008-0000-0000-0000F6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33" name="TextBox 4832">
          <a:extLst>
            <a:ext uri="{FF2B5EF4-FFF2-40B4-BE49-F238E27FC236}">
              <a16:creationId xmlns:a16="http://schemas.microsoft.com/office/drawing/2014/main" id="{00000000-0008-0000-0000-0000F7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34" name="TextBox 4833">
          <a:extLst>
            <a:ext uri="{FF2B5EF4-FFF2-40B4-BE49-F238E27FC236}">
              <a16:creationId xmlns:a16="http://schemas.microsoft.com/office/drawing/2014/main" id="{00000000-0008-0000-0000-0000F8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35" name="TextBox 4834">
          <a:extLst>
            <a:ext uri="{FF2B5EF4-FFF2-40B4-BE49-F238E27FC236}">
              <a16:creationId xmlns:a16="http://schemas.microsoft.com/office/drawing/2014/main" id="{00000000-0008-0000-0000-0000F9010000}"/>
            </a:ext>
          </a:extLst>
        </xdr:cNvPr>
        <xdr:cNvSpPr txBox="1"/>
      </xdr:nvSpPr>
      <xdr:spPr>
        <a:xfrm>
          <a:off x="12580620" y="34571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36" name="TextBox 4835">
          <a:extLst>
            <a:ext uri="{FF2B5EF4-FFF2-40B4-BE49-F238E27FC236}">
              <a16:creationId xmlns:a16="http://schemas.microsoft.com/office/drawing/2014/main" id="{D790F7C5-4FB4-4169-AECB-29A162C3B4E0}"/>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37" name="TextBox 4836">
          <a:extLst>
            <a:ext uri="{FF2B5EF4-FFF2-40B4-BE49-F238E27FC236}">
              <a16:creationId xmlns:a16="http://schemas.microsoft.com/office/drawing/2014/main" id="{4B3266CB-1924-4B0B-A63A-F668BBA86148}"/>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38" name="TextBox 4837">
          <a:extLst>
            <a:ext uri="{FF2B5EF4-FFF2-40B4-BE49-F238E27FC236}">
              <a16:creationId xmlns:a16="http://schemas.microsoft.com/office/drawing/2014/main" id="{CBC7410D-7C3A-41C0-B6C7-F75F0212AE33}"/>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39" name="TextBox 4838">
          <a:extLst>
            <a:ext uri="{FF2B5EF4-FFF2-40B4-BE49-F238E27FC236}">
              <a16:creationId xmlns:a16="http://schemas.microsoft.com/office/drawing/2014/main" id="{50BBF757-870F-4C5F-8A6D-BB01D20FB785}"/>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40" name="TextBox 4839">
          <a:extLst>
            <a:ext uri="{FF2B5EF4-FFF2-40B4-BE49-F238E27FC236}">
              <a16:creationId xmlns:a16="http://schemas.microsoft.com/office/drawing/2014/main" id="{924A6A0B-67A0-4D39-98DD-B4890EA7059F}"/>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41" name="TextBox 4840">
          <a:extLst>
            <a:ext uri="{FF2B5EF4-FFF2-40B4-BE49-F238E27FC236}">
              <a16:creationId xmlns:a16="http://schemas.microsoft.com/office/drawing/2014/main" id="{418D698A-7CAD-4873-9383-980E4B117409}"/>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42" name="TextBox 4841">
          <a:extLst>
            <a:ext uri="{FF2B5EF4-FFF2-40B4-BE49-F238E27FC236}">
              <a16:creationId xmlns:a16="http://schemas.microsoft.com/office/drawing/2014/main" id="{D4576B78-2AC7-4FA0-B5A6-410991F126C0}"/>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43" name="TextBox 4842">
          <a:extLst>
            <a:ext uri="{FF2B5EF4-FFF2-40B4-BE49-F238E27FC236}">
              <a16:creationId xmlns:a16="http://schemas.microsoft.com/office/drawing/2014/main" id="{3F70C200-9F35-47B9-A6A0-8BD020BFA9F5}"/>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44" name="TextBox 4843">
          <a:extLst>
            <a:ext uri="{FF2B5EF4-FFF2-40B4-BE49-F238E27FC236}">
              <a16:creationId xmlns:a16="http://schemas.microsoft.com/office/drawing/2014/main" id="{B21B1052-165D-406E-ACA9-FA2B1238ADAA}"/>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45" name="TextBox 4844">
          <a:extLst>
            <a:ext uri="{FF2B5EF4-FFF2-40B4-BE49-F238E27FC236}">
              <a16:creationId xmlns:a16="http://schemas.microsoft.com/office/drawing/2014/main" id="{65417AB6-2889-49DD-9AEF-7149F5D9B7B2}"/>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46" name="TextBox 4845">
          <a:extLst>
            <a:ext uri="{FF2B5EF4-FFF2-40B4-BE49-F238E27FC236}">
              <a16:creationId xmlns:a16="http://schemas.microsoft.com/office/drawing/2014/main" id="{7BF692BA-8340-4141-BC82-F9CF78D79873}"/>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47" name="TextBox 4846">
          <a:extLst>
            <a:ext uri="{FF2B5EF4-FFF2-40B4-BE49-F238E27FC236}">
              <a16:creationId xmlns:a16="http://schemas.microsoft.com/office/drawing/2014/main" id="{79127C80-C540-411B-B139-200EBBA5DA66}"/>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48" name="TextBox 4847">
          <a:extLst>
            <a:ext uri="{FF2B5EF4-FFF2-40B4-BE49-F238E27FC236}">
              <a16:creationId xmlns:a16="http://schemas.microsoft.com/office/drawing/2014/main" id="{B67D3F3D-F87A-4ACF-91FC-9A53D5A2D4D3}"/>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49" name="TextBox 4848">
          <a:extLst>
            <a:ext uri="{FF2B5EF4-FFF2-40B4-BE49-F238E27FC236}">
              <a16:creationId xmlns:a16="http://schemas.microsoft.com/office/drawing/2014/main" id="{58EC8DC8-71FC-42BE-93DA-79FE716E2108}"/>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50" name="TextBox 4849">
          <a:extLst>
            <a:ext uri="{FF2B5EF4-FFF2-40B4-BE49-F238E27FC236}">
              <a16:creationId xmlns:a16="http://schemas.microsoft.com/office/drawing/2014/main" id="{7B7B12E6-3D6A-411C-8750-B2D904ED71B9}"/>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51" name="TextBox 4850">
          <a:extLst>
            <a:ext uri="{FF2B5EF4-FFF2-40B4-BE49-F238E27FC236}">
              <a16:creationId xmlns:a16="http://schemas.microsoft.com/office/drawing/2014/main" id="{F482887C-F492-4307-823C-4E10D7821CC6}"/>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52" name="TextBox 4851">
          <a:extLst>
            <a:ext uri="{FF2B5EF4-FFF2-40B4-BE49-F238E27FC236}">
              <a16:creationId xmlns:a16="http://schemas.microsoft.com/office/drawing/2014/main" id="{0949CA64-0CC0-4B53-A59D-24AD43506153}"/>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53" name="TextBox 4852">
          <a:extLst>
            <a:ext uri="{FF2B5EF4-FFF2-40B4-BE49-F238E27FC236}">
              <a16:creationId xmlns:a16="http://schemas.microsoft.com/office/drawing/2014/main" id="{AF47DE7E-DEEE-4D8F-BEA0-B678FC4108A0}"/>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54" name="TextBox 4853">
          <a:extLst>
            <a:ext uri="{FF2B5EF4-FFF2-40B4-BE49-F238E27FC236}">
              <a16:creationId xmlns:a16="http://schemas.microsoft.com/office/drawing/2014/main" id="{50B7B56B-3E53-478E-BD2A-1CB44BB0EE30}"/>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55" name="TextBox 4854">
          <a:extLst>
            <a:ext uri="{FF2B5EF4-FFF2-40B4-BE49-F238E27FC236}">
              <a16:creationId xmlns:a16="http://schemas.microsoft.com/office/drawing/2014/main" id="{9A76D97E-F211-4995-A860-8787CD5178FF}"/>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56" name="TextBox 4855">
          <a:extLst>
            <a:ext uri="{FF2B5EF4-FFF2-40B4-BE49-F238E27FC236}">
              <a16:creationId xmlns:a16="http://schemas.microsoft.com/office/drawing/2014/main" id="{9FC70A70-D526-4203-8E11-372D840B6103}"/>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57" name="TextBox 4856">
          <a:extLst>
            <a:ext uri="{FF2B5EF4-FFF2-40B4-BE49-F238E27FC236}">
              <a16:creationId xmlns:a16="http://schemas.microsoft.com/office/drawing/2014/main" id="{4F6B1A49-C9DC-473C-8ECD-E788E907B701}"/>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58" name="TextBox 4857">
          <a:extLst>
            <a:ext uri="{FF2B5EF4-FFF2-40B4-BE49-F238E27FC236}">
              <a16:creationId xmlns:a16="http://schemas.microsoft.com/office/drawing/2014/main" id="{7249EAE9-2088-4834-9241-A764E60A6F18}"/>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59" name="TextBox 4858">
          <a:extLst>
            <a:ext uri="{FF2B5EF4-FFF2-40B4-BE49-F238E27FC236}">
              <a16:creationId xmlns:a16="http://schemas.microsoft.com/office/drawing/2014/main" id="{CEEDDCB2-23A2-47B2-AA3F-37312ED4C714}"/>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60" name="TextBox 4859">
          <a:extLst>
            <a:ext uri="{FF2B5EF4-FFF2-40B4-BE49-F238E27FC236}">
              <a16:creationId xmlns:a16="http://schemas.microsoft.com/office/drawing/2014/main" id="{C53CCEBA-D398-4C3C-8E47-107C27B759C1}"/>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61" name="TextBox 4860">
          <a:extLst>
            <a:ext uri="{FF2B5EF4-FFF2-40B4-BE49-F238E27FC236}">
              <a16:creationId xmlns:a16="http://schemas.microsoft.com/office/drawing/2014/main" id="{C8C855ED-970E-43B8-A5B1-6F6ADBB998A9}"/>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62" name="TextBox 4861">
          <a:extLst>
            <a:ext uri="{FF2B5EF4-FFF2-40B4-BE49-F238E27FC236}">
              <a16:creationId xmlns:a16="http://schemas.microsoft.com/office/drawing/2014/main" id="{E705C099-0DDB-4CBB-91AA-6BD578E38D4C}"/>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63" name="TextBox 4862">
          <a:extLst>
            <a:ext uri="{FF2B5EF4-FFF2-40B4-BE49-F238E27FC236}">
              <a16:creationId xmlns:a16="http://schemas.microsoft.com/office/drawing/2014/main" id="{ADA9DEB9-F0D8-4AB1-B42C-8371D735EDB0}"/>
            </a:ext>
          </a:extLst>
        </xdr:cNvPr>
        <xdr:cNvSpPr txBox="1"/>
      </xdr:nvSpPr>
      <xdr:spPr>
        <a:xfrm>
          <a:off x="12580620" y="3375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64" name="TextBox 4863">
          <a:extLst>
            <a:ext uri="{FF2B5EF4-FFF2-40B4-BE49-F238E27FC236}">
              <a16:creationId xmlns:a16="http://schemas.microsoft.com/office/drawing/2014/main" id="{709CBE26-A551-4C7C-A384-D56B48045E68}"/>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65" name="TextBox 4864">
          <a:extLst>
            <a:ext uri="{FF2B5EF4-FFF2-40B4-BE49-F238E27FC236}">
              <a16:creationId xmlns:a16="http://schemas.microsoft.com/office/drawing/2014/main" id="{FCF004D5-83CC-4601-BE3C-2D350D291279}"/>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66" name="TextBox 4865">
          <a:extLst>
            <a:ext uri="{FF2B5EF4-FFF2-40B4-BE49-F238E27FC236}">
              <a16:creationId xmlns:a16="http://schemas.microsoft.com/office/drawing/2014/main" id="{27CE9EF6-2DFA-4778-9205-D83560524403}"/>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67" name="TextBox 4866">
          <a:extLst>
            <a:ext uri="{FF2B5EF4-FFF2-40B4-BE49-F238E27FC236}">
              <a16:creationId xmlns:a16="http://schemas.microsoft.com/office/drawing/2014/main" id="{AEF2C205-301C-4560-BC83-375E974BCEAF}"/>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68" name="TextBox 4867">
          <a:extLst>
            <a:ext uri="{FF2B5EF4-FFF2-40B4-BE49-F238E27FC236}">
              <a16:creationId xmlns:a16="http://schemas.microsoft.com/office/drawing/2014/main" id="{3DCCF9ED-9B1F-4DC7-B839-6E3EB677417B}"/>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69" name="TextBox 4868">
          <a:extLst>
            <a:ext uri="{FF2B5EF4-FFF2-40B4-BE49-F238E27FC236}">
              <a16:creationId xmlns:a16="http://schemas.microsoft.com/office/drawing/2014/main" id="{3D9466B2-EB98-463C-88EA-A326C523B5D8}"/>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70" name="TextBox 4869">
          <a:extLst>
            <a:ext uri="{FF2B5EF4-FFF2-40B4-BE49-F238E27FC236}">
              <a16:creationId xmlns:a16="http://schemas.microsoft.com/office/drawing/2014/main" id="{0F2E4FBC-6F9D-49D8-B320-D21C3287204C}"/>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71" name="TextBox 4870">
          <a:extLst>
            <a:ext uri="{FF2B5EF4-FFF2-40B4-BE49-F238E27FC236}">
              <a16:creationId xmlns:a16="http://schemas.microsoft.com/office/drawing/2014/main" id="{9EE8A67A-FC51-41CC-B6A6-507074A0155B}"/>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72" name="TextBox 4871">
          <a:extLst>
            <a:ext uri="{FF2B5EF4-FFF2-40B4-BE49-F238E27FC236}">
              <a16:creationId xmlns:a16="http://schemas.microsoft.com/office/drawing/2014/main" id="{E3EE1ED8-1246-4E13-86A2-D686D3F3CFAC}"/>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73" name="TextBox 4872">
          <a:extLst>
            <a:ext uri="{FF2B5EF4-FFF2-40B4-BE49-F238E27FC236}">
              <a16:creationId xmlns:a16="http://schemas.microsoft.com/office/drawing/2014/main" id="{112F0F0B-ABFD-4DDD-BCB9-10FEAFDB5AD9}"/>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74" name="TextBox 4873">
          <a:extLst>
            <a:ext uri="{FF2B5EF4-FFF2-40B4-BE49-F238E27FC236}">
              <a16:creationId xmlns:a16="http://schemas.microsoft.com/office/drawing/2014/main" id="{12EDF718-BDAC-48A4-BBFB-24DCD5C1D4FC}"/>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75" name="TextBox 4874">
          <a:extLst>
            <a:ext uri="{FF2B5EF4-FFF2-40B4-BE49-F238E27FC236}">
              <a16:creationId xmlns:a16="http://schemas.microsoft.com/office/drawing/2014/main" id="{B3B85458-8D8F-4F12-B7C0-DC92B39A1F35}"/>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76" name="TextBox 4875">
          <a:extLst>
            <a:ext uri="{FF2B5EF4-FFF2-40B4-BE49-F238E27FC236}">
              <a16:creationId xmlns:a16="http://schemas.microsoft.com/office/drawing/2014/main" id="{BF066412-0AC2-4C2B-9E92-DFE86D6A185E}"/>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77" name="TextBox 4876">
          <a:extLst>
            <a:ext uri="{FF2B5EF4-FFF2-40B4-BE49-F238E27FC236}">
              <a16:creationId xmlns:a16="http://schemas.microsoft.com/office/drawing/2014/main" id="{F84E80ED-F217-41BA-9FA6-C1DBC25F3A17}"/>
            </a:ext>
          </a:extLst>
        </xdr:cNvPr>
        <xdr:cNvSpPr txBox="1"/>
      </xdr:nvSpPr>
      <xdr:spPr>
        <a:xfrm>
          <a:off x="12580620" y="3396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4880" name="TextBox 4879">
          <a:extLst>
            <a:ext uri="{FF2B5EF4-FFF2-40B4-BE49-F238E27FC236}">
              <a16:creationId xmlns:a16="http://schemas.microsoft.com/office/drawing/2014/main" id="{00000000-0008-0000-0000-000007000000}"/>
            </a:ext>
          </a:extLst>
        </xdr:cNvPr>
        <xdr:cNvSpPr txBox="1"/>
      </xdr:nvSpPr>
      <xdr:spPr>
        <a:xfrm>
          <a:off x="8267700" y="33352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153</xdr:row>
      <xdr:rowOff>0</xdr:rowOff>
    </xdr:from>
    <xdr:ext cx="65" cy="172227"/>
    <xdr:sp macro="" textlink="">
      <xdr:nvSpPr>
        <xdr:cNvPr id="4884" name="TextBox 4883">
          <a:extLst>
            <a:ext uri="{FF2B5EF4-FFF2-40B4-BE49-F238E27FC236}">
              <a16:creationId xmlns:a16="http://schemas.microsoft.com/office/drawing/2014/main" id="{00000000-0008-0000-0000-00000B000000}"/>
            </a:ext>
          </a:extLst>
        </xdr:cNvPr>
        <xdr:cNvSpPr txBox="1"/>
      </xdr:nvSpPr>
      <xdr:spPr>
        <a:xfrm>
          <a:off x="8267700" y="33352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85" name="TextBox 4884">
          <a:extLst>
            <a:ext uri="{FF2B5EF4-FFF2-40B4-BE49-F238E27FC236}">
              <a16:creationId xmlns:a16="http://schemas.microsoft.com/office/drawing/2014/main" id="{00000000-0008-0000-0000-00000C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886" name="TextBox 4885">
          <a:extLst>
            <a:ext uri="{FF2B5EF4-FFF2-40B4-BE49-F238E27FC236}">
              <a16:creationId xmlns:a16="http://schemas.microsoft.com/office/drawing/2014/main" id="{00000000-0008-0000-0000-00000D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87" name="TextBox 4886">
          <a:extLst>
            <a:ext uri="{FF2B5EF4-FFF2-40B4-BE49-F238E27FC236}">
              <a16:creationId xmlns:a16="http://schemas.microsoft.com/office/drawing/2014/main" id="{00000000-0008-0000-0000-00000E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888" name="TextBox 4887">
          <a:extLst>
            <a:ext uri="{FF2B5EF4-FFF2-40B4-BE49-F238E27FC236}">
              <a16:creationId xmlns:a16="http://schemas.microsoft.com/office/drawing/2014/main" id="{00000000-0008-0000-0000-00000F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89" name="TextBox 4888">
          <a:extLst>
            <a:ext uri="{FF2B5EF4-FFF2-40B4-BE49-F238E27FC236}">
              <a16:creationId xmlns:a16="http://schemas.microsoft.com/office/drawing/2014/main" id="{00000000-0008-0000-0000-000010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890" name="TextBox 4889">
          <a:extLst>
            <a:ext uri="{FF2B5EF4-FFF2-40B4-BE49-F238E27FC236}">
              <a16:creationId xmlns:a16="http://schemas.microsoft.com/office/drawing/2014/main" id="{00000000-0008-0000-0000-000011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891" name="TextBox 4890">
          <a:extLst>
            <a:ext uri="{FF2B5EF4-FFF2-40B4-BE49-F238E27FC236}">
              <a16:creationId xmlns:a16="http://schemas.microsoft.com/office/drawing/2014/main" id="{00000000-0008-0000-0000-000012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892" name="TextBox 4891">
          <a:extLst>
            <a:ext uri="{FF2B5EF4-FFF2-40B4-BE49-F238E27FC236}">
              <a16:creationId xmlns:a16="http://schemas.microsoft.com/office/drawing/2014/main" id="{00000000-0008-0000-0000-000013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893" name="TextBox 4892">
          <a:extLst>
            <a:ext uri="{FF2B5EF4-FFF2-40B4-BE49-F238E27FC236}">
              <a16:creationId xmlns:a16="http://schemas.microsoft.com/office/drawing/2014/main" id="{00000000-0008-0000-0000-000014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4894" name="TextBox 4893">
          <a:extLst>
            <a:ext uri="{FF2B5EF4-FFF2-40B4-BE49-F238E27FC236}">
              <a16:creationId xmlns:a16="http://schemas.microsoft.com/office/drawing/2014/main" id="{00000000-0008-0000-0000-000015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95" name="TextBox 4894">
          <a:extLst>
            <a:ext uri="{FF2B5EF4-FFF2-40B4-BE49-F238E27FC236}">
              <a16:creationId xmlns:a16="http://schemas.microsoft.com/office/drawing/2014/main" id="{00000000-0008-0000-0000-00001600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4896" name="TextBox 4895">
          <a:extLst>
            <a:ext uri="{FF2B5EF4-FFF2-40B4-BE49-F238E27FC236}">
              <a16:creationId xmlns:a16="http://schemas.microsoft.com/office/drawing/2014/main" id="{00000000-0008-0000-0000-00001700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897" name="TextBox 4896">
          <a:extLst>
            <a:ext uri="{FF2B5EF4-FFF2-40B4-BE49-F238E27FC236}">
              <a16:creationId xmlns:a16="http://schemas.microsoft.com/office/drawing/2014/main" id="{00000000-0008-0000-0000-00001800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4898" name="TextBox 4897">
          <a:extLst>
            <a:ext uri="{FF2B5EF4-FFF2-40B4-BE49-F238E27FC236}">
              <a16:creationId xmlns:a16="http://schemas.microsoft.com/office/drawing/2014/main" id="{00000000-0008-0000-0000-00001900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4899" name="TextBox 4898">
          <a:extLst>
            <a:ext uri="{FF2B5EF4-FFF2-40B4-BE49-F238E27FC236}">
              <a16:creationId xmlns:a16="http://schemas.microsoft.com/office/drawing/2014/main" id="{00000000-0008-0000-0000-00001A000000}"/>
            </a:ext>
          </a:extLst>
        </xdr:cNvPr>
        <xdr:cNvSpPr txBox="1"/>
      </xdr:nvSpPr>
      <xdr:spPr>
        <a:xfrm>
          <a:off x="8267700" y="34922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161</xdr:row>
      <xdr:rowOff>0</xdr:rowOff>
    </xdr:from>
    <xdr:ext cx="65" cy="172227"/>
    <xdr:sp macro="" textlink="">
      <xdr:nvSpPr>
        <xdr:cNvPr id="4900" name="TextBox 4899">
          <a:extLst>
            <a:ext uri="{FF2B5EF4-FFF2-40B4-BE49-F238E27FC236}">
              <a16:creationId xmlns:a16="http://schemas.microsoft.com/office/drawing/2014/main" id="{00000000-0008-0000-0000-00001B000000}"/>
            </a:ext>
          </a:extLst>
        </xdr:cNvPr>
        <xdr:cNvSpPr txBox="1"/>
      </xdr:nvSpPr>
      <xdr:spPr>
        <a:xfrm>
          <a:off x="8267700" y="34922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4901" name="TextBox 4900">
          <a:extLst>
            <a:ext uri="{FF2B5EF4-FFF2-40B4-BE49-F238E27FC236}">
              <a16:creationId xmlns:a16="http://schemas.microsoft.com/office/drawing/2014/main" id="{00000000-0008-0000-0000-00001C000000}"/>
            </a:ext>
          </a:extLst>
        </xdr:cNvPr>
        <xdr:cNvSpPr txBox="1"/>
      </xdr:nvSpPr>
      <xdr:spPr>
        <a:xfrm>
          <a:off x="8267700" y="35105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162</xdr:row>
      <xdr:rowOff>0</xdr:rowOff>
    </xdr:from>
    <xdr:ext cx="65" cy="172227"/>
    <xdr:sp macro="" textlink="">
      <xdr:nvSpPr>
        <xdr:cNvPr id="4902" name="TextBox 4901">
          <a:extLst>
            <a:ext uri="{FF2B5EF4-FFF2-40B4-BE49-F238E27FC236}">
              <a16:creationId xmlns:a16="http://schemas.microsoft.com/office/drawing/2014/main" id="{00000000-0008-0000-0000-00001D000000}"/>
            </a:ext>
          </a:extLst>
        </xdr:cNvPr>
        <xdr:cNvSpPr txBox="1"/>
      </xdr:nvSpPr>
      <xdr:spPr>
        <a:xfrm>
          <a:off x="8267700" y="35105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4903" name="TextBox 4902">
          <a:extLst>
            <a:ext uri="{FF2B5EF4-FFF2-40B4-BE49-F238E27FC236}">
              <a16:creationId xmlns:a16="http://schemas.microsoft.com/office/drawing/2014/main" id="{00000000-0008-0000-0000-00001E000000}"/>
            </a:ext>
          </a:extLst>
        </xdr:cNvPr>
        <xdr:cNvSpPr txBox="1"/>
      </xdr:nvSpPr>
      <xdr:spPr>
        <a:xfrm>
          <a:off x="8267700" y="36202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4904" name="TextBox 4903">
          <a:extLst>
            <a:ext uri="{FF2B5EF4-FFF2-40B4-BE49-F238E27FC236}">
              <a16:creationId xmlns:a16="http://schemas.microsoft.com/office/drawing/2014/main" id="{00000000-0008-0000-0000-00001F000000}"/>
            </a:ext>
          </a:extLst>
        </xdr:cNvPr>
        <xdr:cNvSpPr txBox="1"/>
      </xdr:nvSpPr>
      <xdr:spPr>
        <a:xfrm>
          <a:off x="8267700" y="36202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4905" name="TextBox 4904">
          <a:extLst>
            <a:ext uri="{FF2B5EF4-FFF2-40B4-BE49-F238E27FC236}">
              <a16:creationId xmlns:a16="http://schemas.microsoft.com/office/drawing/2014/main" id="{00000000-0008-0000-0000-000020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4906" name="TextBox 4905">
          <a:extLst>
            <a:ext uri="{FF2B5EF4-FFF2-40B4-BE49-F238E27FC236}">
              <a16:creationId xmlns:a16="http://schemas.microsoft.com/office/drawing/2014/main" id="{00000000-0008-0000-0000-000021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07" name="TextBox 4906">
          <a:extLst>
            <a:ext uri="{FF2B5EF4-FFF2-40B4-BE49-F238E27FC236}">
              <a16:creationId xmlns:a16="http://schemas.microsoft.com/office/drawing/2014/main" id="{00000000-0008-0000-0000-000022000000}"/>
            </a:ext>
          </a:extLst>
        </xdr:cNvPr>
        <xdr:cNvSpPr txBox="1"/>
      </xdr:nvSpPr>
      <xdr:spPr>
        <a:xfrm>
          <a:off x="8267700" y="36568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08" name="TextBox 4907">
          <a:extLst>
            <a:ext uri="{FF2B5EF4-FFF2-40B4-BE49-F238E27FC236}">
              <a16:creationId xmlns:a16="http://schemas.microsoft.com/office/drawing/2014/main" id="{00000000-0008-0000-0000-000023000000}"/>
            </a:ext>
          </a:extLst>
        </xdr:cNvPr>
        <xdr:cNvSpPr txBox="1"/>
      </xdr:nvSpPr>
      <xdr:spPr>
        <a:xfrm>
          <a:off x="8267700" y="36568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909" name="TextBox 4908">
          <a:extLst>
            <a:ext uri="{FF2B5EF4-FFF2-40B4-BE49-F238E27FC236}">
              <a16:creationId xmlns:a16="http://schemas.microsoft.com/office/drawing/2014/main" id="{00000000-0008-0000-0000-000024000000}"/>
            </a:ext>
          </a:extLst>
        </xdr:cNvPr>
        <xdr:cNvSpPr txBox="1"/>
      </xdr:nvSpPr>
      <xdr:spPr>
        <a:xfrm>
          <a:off x="8267700" y="36751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910" name="TextBox 4909">
          <a:extLst>
            <a:ext uri="{FF2B5EF4-FFF2-40B4-BE49-F238E27FC236}">
              <a16:creationId xmlns:a16="http://schemas.microsoft.com/office/drawing/2014/main" id="{00000000-0008-0000-0000-000025000000}"/>
            </a:ext>
          </a:extLst>
        </xdr:cNvPr>
        <xdr:cNvSpPr txBox="1"/>
      </xdr:nvSpPr>
      <xdr:spPr>
        <a:xfrm>
          <a:off x="8267700" y="36751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4911" name="TextBox 4910">
          <a:extLst>
            <a:ext uri="{FF2B5EF4-FFF2-40B4-BE49-F238E27FC236}">
              <a16:creationId xmlns:a16="http://schemas.microsoft.com/office/drawing/2014/main" id="{00000000-0008-0000-0000-000026000000}"/>
            </a:ext>
          </a:extLst>
        </xdr:cNvPr>
        <xdr:cNvSpPr txBox="1"/>
      </xdr:nvSpPr>
      <xdr:spPr>
        <a:xfrm>
          <a:off x="8267700" y="36934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4912" name="TextBox 4911">
          <a:extLst>
            <a:ext uri="{FF2B5EF4-FFF2-40B4-BE49-F238E27FC236}">
              <a16:creationId xmlns:a16="http://schemas.microsoft.com/office/drawing/2014/main" id="{00000000-0008-0000-0000-000027000000}"/>
            </a:ext>
          </a:extLst>
        </xdr:cNvPr>
        <xdr:cNvSpPr txBox="1"/>
      </xdr:nvSpPr>
      <xdr:spPr>
        <a:xfrm>
          <a:off x="8267700" y="36934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4913" name="TextBox 4912">
          <a:extLst>
            <a:ext uri="{FF2B5EF4-FFF2-40B4-BE49-F238E27FC236}">
              <a16:creationId xmlns:a16="http://schemas.microsoft.com/office/drawing/2014/main" id="{00000000-0008-0000-0000-000028000000}"/>
            </a:ext>
          </a:extLst>
        </xdr:cNvPr>
        <xdr:cNvSpPr txBox="1"/>
      </xdr:nvSpPr>
      <xdr:spPr>
        <a:xfrm>
          <a:off x="8267700" y="38031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178</xdr:row>
      <xdr:rowOff>0</xdr:rowOff>
    </xdr:from>
    <xdr:ext cx="65" cy="172227"/>
    <xdr:sp macro="" textlink="">
      <xdr:nvSpPr>
        <xdr:cNvPr id="4914" name="TextBox 4913">
          <a:extLst>
            <a:ext uri="{FF2B5EF4-FFF2-40B4-BE49-F238E27FC236}">
              <a16:creationId xmlns:a16="http://schemas.microsoft.com/office/drawing/2014/main" id="{00000000-0008-0000-0000-000029000000}"/>
            </a:ext>
          </a:extLst>
        </xdr:cNvPr>
        <xdr:cNvSpPr txBox="1"/>
      </xdr:nvSpPr>
      <xdr:spPr>
        <a:xfrm>
          <a:off x="8267700" y="38031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4915" name="TextBox 4914">
          <a:extLst>
            <a:ext uri="{FF2B5EF4-FFF2-40B4-BE49-F238E27FC236}">
              <a16:creationId xmlns:a16="http://schemas.microsoft.com/office/drawing/2014/main" id="{00000000-0008-0000-0000-00002A000000}"/>
            </a:ext>
          </a:extLst>
        </xdr:cNvPr>
        <xdr:cNvSpPr txBox="1"/>
      </xdr:nvSpPr>
      <xdr:spPr>
        <a:xfrm>
          <a:off x="8267700" y="3821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4916" name="TextBox 4915">
          <a:extLst>
            <a:ext uri="{FF2B5EF4-FFF2-40B4-BE49-F238E27FC236}">
              <a16:creationId xmlns:a16="http://schemas.microsoft.com/office/drawing/2014/main" id="{00000000-0008-0000-0000-00002B000000}"/>
            </a:ext>
          </a:extLst>
        </xdr:cNvPr>
        <xdr:cNvSpPr txBox="1"/>
      </xdr:nvSpPr>
      <xdr:spPr>
        <a:xfrm>
          <a:off x="8267700" y="3821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4917" name="TextBox 4916">
          <a:extLst>
            <a:ext uri="{FF2B5EF4-FFF2-40B4-BE49-F238E27FC236}">
              <a16:creationId xmlns:a16="http://schemas.microsoft.com/office/drawing/2014/main" id="{00000000-0008-0000-0000-00002C000000}"/>
            </a:ext>
          </a:extLst>
        </xdr:cNvPr>
        <xdr:cNvSpPr txBox="1"/>
      </xdr:nvSpPr>
      <xdr:spPr>
        <a:xfrm>
          <a:off x="826770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4918" name="TextBox 4917">
          <a:extLst>
            <a:ext uri="{FF2B5EF4-FFF2-40B4-BE49-F238E27FC236}">
              <a16:creationId xmlns:a16="http://schemas.microsoft.com/office/drawing/2014/main" id="{00000000-0008-0000-0000-00002D000000}"/>
            </a:ext>
          </a:extLst>
        </xdr:cNvPr>
        <xdr:cNvSpPr txBox="1"/>
      </xdr:nvSpPr>
      <xdr:spPr>
        <a:xfrm>
          <a:off x="8267700" y="38397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4919" name="TextBox 4918">
          <a:extLst>
            <a:ext uri="{FF2B5EF4-FFF2-40B4-BE49-F238E27FC236}">
              <a16:creationId xmlns:a16="http://schemas.microsoft.com/office/drawing/2014/main" id="{00000000-0008-0000-0000-00002E000000}"/>
            </a:ext>
          </a:extLst>
        </xdr:cNvPr>
        <xdr:cNvSpPr txBox="1"/>
      </xdr:nvSpPr>
      <xdr:spPr>
        <a:xfrm>
          <a:off x="8267700" y="3858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4920" name="TextBox 4919">
          <a:extLst>
            <a:ext uri="{FF2B5EF4-FFF2-40B4-BE49-F238E27FC236}">
              <a16:creationId xmlns:a16="http://schemas.microsoft.com/office/drawing/2014/main" id="{00000000-0008-0000-0000-00002F000000}"/>
            </a:ext>
          </a:extLst>
        </xdr:cNvPr>
        <xdr:cNvSpPr txBox="1"/>
      </xdr:nvSpPr>
      <xdr:spPr>
        <a:xfrm>
          <a:off x="8267700" y="38580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4921" name="TextBox 4920">
          <a:extLst>
            <a:ext uri="{FF2B5EF4-FFF2-40B4-BE49-F238E27FC236}">
              <a16:creationId xmlns:a16="http://schemas.microsoft.com/office/drawing/2014/main" id="{00000000-0008-0000-0000-000030000000}"/>
            </a:ext>
          </a:extLst>
        </xdr:cNvPr>
        <xdr:cNvSpPr txBox="1"/>
      </xdr:nvSpPr>
      <xdr:spPr>
        <a:xfrm>
          <a:off x="8267700" y="38762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4922" name="TextBox 4921">
          <a:extLst>
            <a:ext uri="{FF2B5EF4-FFF2-40B4-BE49-F238E27FC236}">
              <a16:creationId xmlns:a16="http://schemas.microsoft.com/office/drawing/2014/main" id="{00000000-0008-0000-0000-000031000000}"/>
            </a:ext>
          </a:extLst>
        </xdr:cNvPr>
        <xdr:cNvSpPr txBox="1"/>
      </xdr:nvSpPr>
      <xdr:spPr>
        <a:xfrm>
          <a:off x="8267700" y="387629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23" name="TextBox 4922">
          <a:extLst>
            <a:ext uri="{FF2B5EF4-FFF2-40B4-BE49-F238E27FC236}">
              <a16:creationId xmlns:a16="http://schemas.microsoft.com/office/drawing/2014/main" id="{00000000-0008-0000-0000-000032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24" name="TextBox 4923">
          <a:extLst>
            <a:ext uri="{FF2B5EF4-FFF2-40B4-BE49-F238E27FC236}">
              <a16:creationId xmlns:a16="http://schemas.microsoft.com/office/drawing/2014/main" id="{00000000-0008-0000-0000-000033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25" name="TextBox 4924">
          <a:extLst>
            <a:ext uri="{FF2B5EF4-FFF2-40B4-BE49-F238E27FC236}">
              <a16:creationId xmlns:a16="http://schemas.microsoft.com/office/drawing/2014/main" id="{00000000-0008-0000-0000-000034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26" name="TextBox 4925">
          <a:extLst>
            <a:ext uri="{FF2B5EF4-FFF2-40B4-BE49-F238E27FC236}">
              <a16:creationId xmlns:a16="http://schemas.microsoft.com/office/drawing/2014/main" id="{00000000-0008-0000-0000-000035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27" name="TextBox 4926">
          <a:extLst>
            <a:ext uri="{FF2B5EF4-FFF2-40B4-BE49-F238E27FC236}">
              <a16:creationId xmlns:a16="http://schemas.microsoft.com/office/drawing/2014/main" id="{00000000-0008-0000-0000-000036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28" name="TextBox 4927">
          <a:extLst>
            <a:ext uri="{FF2B5EF4-FFF2-40B4-BE49-F238E27FC236}">
              <a16:creationId xmlns:a16="http://schemas.microsoft.com/office/drawing/2014/main" id="{00000000-0008-0000-0000-000037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29" name="TextBox 4928">
          <a:extLst>
            <a:ext uri="{FF2B5EF4-FFF2-40B4-BE49-F238E27FC236}">
              <a16:creationId xmlns:a16="http://schemas.microsoft.com/office/drawing/2014/main" id="{00000000-0008-0000-0000-000038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30" name="TextBox 4929">
          <a:extLst>
            <a:ext uri="{FF2B5EF4-FFF2-40B4-BE49-F238E27FC236}">
              <a16:creationId xmlns:a16="http://schemas.microsoft.com/office/drawing/2014/main" id="{00000000-0008-0000-0000-000039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31" name="TextBox 4930">
          <a:extLst>
            <a:ext uri="{FF2B5EF4-FFF2-40B4-BE49-F238E27FC236}">
              <a16:creationId xmlns:a16="http://schemas.microsoft.com/office/drawing/2014/main" id="{00000000-0008-0000-0000-00003A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32" name="TextBox 4931">
          <a:extLst>
            <a:ext uri="{FF2B5EF4-FFF2-40B4-BE49-F238E27FC236}">
              <a16:creationId xmlns:a16="http://schemas.microsoft.com/office/drawing/2014/main" id="{00000000-0008-0000-0000-00003B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33" name="TextBox 4932">
          <a:extLst>
            <a:ext uri="{FF2B5EF4-FFF2-40B4-BE49-F238E27FC236}">
              <a16:creationId xmlns:a16="http://schemas.microsoft.com/office/drawing/2014/main" id="{00000000-0008-0000-0000-00003C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34" name="TextBox 4933">
          <a:extLst>
            <a:ext uri="{FF2B5EF4-FFF2-40B4-BE49-F238E27FC236}">
              <a16:creationId xmlns:a16="http://schemas.microsoft.com/office/drawing/2014/main" id="{00000000-0008-0000-0000-00003D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35" name="TextBox 4934">
          <a:extLst>
            <a:ext uri="{FF2B5EF4-FFF2-40B4-BE49-F238E27FC236}">
              <a16:creationId xmlns:a16="http://schemas.microsoft.com/office/drawing/2014/main" id="{00000000-0008-0000-0000-00003E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36" name="TextBox 4935">
          <a:extLst>
            <a:ext uri="{FF2B5EF4-FFF2-40B4-BE49-F238E27FC236}">
              <a16:creationId xmlns:a16="http://schemas.microsoft.com/office/drawing/2014/main" id="{00000000-0008-0000-0000-00003F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37" name="TextBox 4936">
          <a:extLst>
            <a:ext uri="{FF2B5EF4-FFF2-40B4-BE49-F238E27FC236}">
              <a16:creationId xmlns:a16="http://schemas.microsoft.com/office/drawing/2014/main" id="{00000000-0008-0000-0000-000040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38" name="TextBox 4937">
          <a:extLst>
            <a:ext uri="{FF2B5EF4-FFF2-40B4-BE49-F238E27FC236}">
              <a16:creationId xmlns:a16="http://schemas.microsoft.com/office/drawing/2014/main" id="{00000000-0008-0000-0000-000041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39" name="TextBox 4938">
          <a:extLst>
            <a:ext uri="{FF2B5EF4-FFF2-40B4-BE49-F238E27FC236}">
              <a16:creationId xmlns:a16="http://schemas.microsoft.com/office/drawing/2014/main" id="{00000000-0008-0000-0000-000042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40" name="TextBox 4939">
          <a:extLst>
            <a:ext uri="{FF2B5EF4-FFF2-40B4-BE49-F238E27FC236}">
              <a16:creationId xmlns:a16="http://schemas.microsoft.com/office/drawing/2014/main" id="{00000000-0008-0000-0000-000043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41" name="TextBox 4940">
          <a:extLst>
            <a:ext uri="{FF2B5EF4-FFF2-40B4-BE49-F238E27FC236}">
              <a16:creationId xmlns:a16="http://schemas.microsoft.com/office/drawing/2014/main" id="{00000000-0008-0000-0000-000044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186</xdr:row>
      <xdr:rowOff>0</xdr:rowOff>
    </xdr:from>
    <xdr:ext cx="65" cy="172227"/>
    <xdr:sp macro="" textlink="">
      <xdr:nvSpPr>
        <xdr:cNvPr id="4942" name="TextBox 4941">
          <a:extLst>
            <a:ext uri="{FF2B5EF4-FFF2-40B4-BE49-F238E27FC236}">
              <a16:creationId xmlns:a16="http://schemas.microsoft.com/office/drawing/2014/main" id="{00000000-0008-0000-0000-000045000000}"/>
            </a:ext>
          </a:extLst>
        </xdr:cNvPr>
        <xdr:cNvSpPr txBox="1"/>
      </xdr:nvSpPr>
      <xdr:spPr>
        <a:xfrm>
          <a:off x="8267700" y="39494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43" name="TextBox 4942">
          <a:extLst>
            <a:ext uri="{FF2B5EF4-FFF2-40B4-BE49-F238E27FC236}">
              <a16:creationId xmlns:a16="http://schemas.microsoft.com/office/drawing/2014/main" id="{00000000-0008-0000-0000-000048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44" name="TextBox 4943">
          <a:extLst>
            <a:ext uri="{FF2B5EF4-FFF2-40B4-BE49-F238E27FC236}">
              <a16:creationId xmlns:a16="http://schemas.microsoft.com/office/drawing/2014/main" id="{00000000-0008-0000-0000-000049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945" name="TextBox 4944">
          <a:extLst>
            <a:ext uri="{FF2B5EF4-FFF2-40B4-BE49-F238E27FC236}">
              <a16:creationId xmlns:a16="http://schemas.microsoft.com/office/drawing/2014/main" id="{00000000-0008-0000-0000-00004C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946" name="TextBox 4945">
          <a:extLst>
            <a:ext uri="{FF2B5EF4-FFF2-40B4-BE49-F238E27FC236}">
              <a16:creationId xmlns:a16="http://schemas.microsoft.com/office/drawing/2014/main" id="{00000000-0008-0000-0000-00004D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947" name="TextBox 4946">
          <a:extLst>
            <a:ext uri="{FF2B5EF4-FFF2-40B4-BE49-F238E27FC236}">
              <a16:creationId xmlns:a16="http://schemas.microsoft.com/office/drawing/2014/main" id="{00000000-0008-0000-0000-00004E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948" name="TextBox 4947">
          <a:extLst>
            <a:ext uri="{FF2B5EF4-FFF2-40B4-BE49-F238E27FC236}">
              <a16:creationId xmlns:a16="http://schemas.microsoft.com/office/drawing/2014/main" id="{00000000-0008-0000-0000-00004F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949" name="TextBox 4948">
          <a:extLst>
            <a:ext uri="{FF2B5EF4-FFF2-40B4-BE49-F238E27FC236}">
              <a16:creationId xmlns:a16="http://schemas.microsoft.com/office/drawing/2014/main" id="{00000000-0008-0000-0000-000050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4950" name="TextBox 4949">
          <a:extLst>
            <a:ext uri="{FF2B5EF4-FFF2-40B4-BE49-F238E27FC236}">
              <a16:creationId xmlns:a16="http://schemas.microsoft.com/office/drawing/2014/main" id="{00000000-0008-0000-0000-000051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951" name="TextBox 4950">
          <a:extLst>
            <a:ext uri="{FF2B5EF4-FFF2-40B4-BE49-F238E27FC236}">
              <a16:creationId xmlns:a16="http://schemas.microsoft.com/office/drawing/2014/main" id="{00000000-0008-0000-0000-000052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952" name="TextBox 4951">
          <a:extLst>
            <a:ext uri="{FF2B5EF4-FFF2-40B4-BE49-F238E27FC236}">
              <a16:creationId xmlns:a16="http://schemas.microsoft.com/office/drawing/2014/main" id="{00000000-0008-0000-0000-000053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53" name="TextBox 4952">
          <a:extLst>
            <a:ext uri="{FF2B5EF4-FFF2-40B4-BE49-F238E27FC236}">
              <a16:creationId xmlns:a16="http://schemas.microsoft.com/office/drawing/2014/main" id="{00000000-0008-0000-0000-000054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54" name="TextBox 4953">
          <a:extLst>
            <a:ext uri="{FF2B5EF4-FFF2-40B4-BE49-F238E27FC236}">
              <a16:creationId xmlns:a16="http://schemas.microsoft.com/office/drawing/2014/main" id="{00000000-0008-0000-0000-000055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55" name="TextBox 4954">
          <a:extLst>
            <a:ext uri="{FF2B5EF4-FFF2-40B4-BE49-F238E27FC236}">
              <a16:creationId xmlns:a16="http://schemas.microsoft.com/office/drawing/2014/main" id="{00000000-0008-0000-0000-000056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56" name="TextBox 4955">
          <a:extLst>
            <a:ext uri="{FF2B5EF4-FFF2-40B4-BE49-F238E27FC236}">
              <a16:creationId xmlns:a16="http://schemas.microsoft.com/office/drawing/2014/main" id="{00000000-0008-0000-0000-000057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957" name="TextBox 4956">
          <a:extLst>
            <a:ext uri="{FF2B5EF4-FFF2-40B4-BE49-F238E27FC236}">
              <a16:creationId xmlns:a16="http://schemas.microsoft.com/office/drawing/2014/main" id="{00000000-0008-0000-0000-000058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958" name="TextBox 4957">
          <a:extLst>
            <a:ext uri="{FF2B5EF4-FFF2-40B4-BE49-F238E27FC236}">
              <a16:creationId xmlns:a16="http://schemas.microsoft.com/office/drawing/2014/main" id="{00000000-0008-0000-0000-000059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959" name="TextBox 4958">
          <a:extLst>
            <a:ext uri="{FF2B5EF4-FFF2-40B4-BE49-F238E27FC236}">
              <a16:creationId xmlns:a16="http://schemas.microsoft.com/office/drawing/2014/main" id="{00000000-0008-0000-0000-00005A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960" name="TextBox 4959">
          <a:extLst>
            <a:ext uri="{FF2B5EF4-FFF2-40B4-BE49-F238E27FC236}">
              <a16:creationId xmlns:a16="http://schemas.microsoft.com/office/drawing/2014/main" id="{00000000-0008-0000-0000-00005B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961" name="TextBox 4960">
          <a:extLst>
            <a:ext uri="{FF2B5EF4-FFF2-40B4-BE49-F238E27FC236}">
              <a16:creationId xmlns:a16="http://schemas.microsoft.com/office/drawing/2014/main" id="{00000000-0008-0000-0000-00005C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962" name="TextBox 4961">
          <a:extLst>
            <a:ext uri="{FF2B5EF4-FFF2-40B4-BE49-F238E27FC236}">
              <a16:creationId xmlns:a16="http://schemas.microsoft.com/office/drawing/2014/main" id="{00000000-0008-0000-0000-00005D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963" name="TextBox 4962">
          <a:extLst>
            <a:ext uri="{FF2B5EF4-FFF2-40B4-BE49-F238E27FC236}">
              <a16:creationId xmlns:a16="http://schemas.microsoft.com/office/drawing/2014/main" id="{00000000-0008-0000-0000-00005E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4964" name="TextBox 4963">
          <a:extLst>
            <a:ext uri="{FF2B5EF4-FFF2-40B4-BE49-F238E27FC236}">
              <a16:creationId xmlns:a16="http://schemas.microsoft.com/office/drawing/2014/main" id="{00000000-0008-0000-0000-00005F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965" name="TextBox 4964">
          <a:extLst>
            <a:ext uri="{FF2B5EF4-FFF2-40B4-BE49-F238E27FC236}">
              <a16:creationId xmlns:a16="http://schemas.microsoft.com/office/drawing/2014/main" id="{00000000-0008-0000-0000-000060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966" name="TextBox 4965">
          <a:extLst>
            <a:ext uri="{FF2B5EF4-FFF2-40B4-BE49-F238E27FC236}">
              <a16:creationId xmlns:a16="http://schemas.microsoft.com/office/drawing/2014/main" id="{00000000-0008-0000-0000-000061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967" name="TextBox 4966">
          <a:extLst>
            <a:ext uri="{FF2B5EF4-FFF2-40B4-BE49-F238E27FC236}">
              <a16:creationId xmlns:a16="http://schemas.microsoft.com/office/drawing/2014/main" id="{00000000-0008-0000-0000-000062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968" name="TextBox 4967">
          <a:extLst>
            <a:ext uri="{FF2B5EF4-FFF2-40B4-BE49-F238E27FC236}">
              <a16:creationId xmlns:a16="http://schemas.microsoft.com/office/drawing/2014/main" id="{00000000-0008-0000-0000-000063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69" name="TextBox 4968">
          <a:extLst>
            <a:ext uri="{FF2B5EF4-FFF2-40B4-BE49-F238E27FC236}">
              <a16:creationId xmlns:a16="http://schemas.microsoft.com/office/drawing/2014/main" id="{00000000-0008-0000-0000-000064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70" name="TextBox 4969">
          <a:extLst>
            <a:ext uri="{FF2B5EF4-FFF2-40B4-BE49-F238E27FC236}">
              <a16:creationId xmlns:a16="http://schemas.microsoft.com/office/drawing/2014/main" id="{00000000-0008-0000-0000-000065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71" name="TextBox 4970">
          <a:extLst>
            <a:ext uri="{FF2B5EF4-FFF2-40B4-BE49-F238E27FC236}">
              <a16:creationId xmlns:a16="http://schemas.microsoft.com/office/drawing/2014/main" id="{00000000-0008-0000-0000-000066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72" name="TextBox 4971">
          <a:extLst>
            <a:ext uri="{FF2B5EF4-FFF2-40B4-BE49-F238E27FC236}">
              <a16:creationId xmlns:a16="http://schemas.microsoft.com/office/drawing/2014/main" id="{00000000-0008-0000-0000-000067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73" name="TextBox 4972">
          <a:extLst>
            <a:ext uri="{FF2B5EF4-FFF2-40B4-BE49-F238E27FC236}">
              <a16:creationId xmlns:a16="http://schemas.microsoft.com/office/drawing/2014/main" id="{00000000-0008-0000-0000-000068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74" name="TextBox 4973">
          <a:extLst>
            <a:ext uri="{FF2B5EF4-FFF2-40B4-BE49-F238E27FC236}">
              <a16:creationId xmlns:a16="http://schemas.microsoft.com/office/drawing/2014/main" id="{00000000-0008-0000-0000-000069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75" name="TextBox 4974">
          <a:extLst>
            <a:ext uri="{FF2B5EF4-FFF2-40B4-BE49-F238E27FC236}">
              <a16:creationId xmlns:a16="http://schemas.microsoft.com/office/drawing/2014/main" id="{00000000-0008-0000-0000-00006A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76" name="TextBox 4975">
          <a:extLst>
            <a:ext uri="{FF2B5EF4-FFF2-40B4-BE49-F238E27FC236}">
              <a16:creationId xmlns:a16="http://schemas.microsoft.com/office/drawing/2014/main" id="{00000000-0008-0000-0000-00006B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77" name="TextBox 4976">
          <a:extLst>
            <a:ext uri="{FF2B5EF4-FFF2-40B4-BE49-F238E27FC236}">
              <a16:creationId xmlns:a16="http://schemas.microsoft.com/office/drawing/2014/main" id="{00000000-0008-0000-0000-00006C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78" name="TextBox 4977">
          <a:extLst>
            <a:ext uri="{FF2B5EF4-FFF2-40B4-BE49-F238E27FC236}">
              <a16:creationId xmlns:a16="http://schemas.microsoft.com/office/drawing/2014/main" id="{00000000-0008-0000-0000-00006D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79" name="TextBox 4978">
          <a:extLst>
            <a:ext uri="{FF2B5EF4-FFF2-40B4-BE49-F238E27FC236}">
              <a16:creationId xmlns:a16="http://schemas.microsoft.com/office/drawing/2014/main" id="{00000000-0008-0000-0000-00006E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80" name="TextBox 4979">
          <a:extLst>
            <a:ext uri="{FF2B5EF4-FFF2-40B4-BE49-F238E27FC236}">
              <a16:creationId xmlns:a16="http://schemas.microsoft.com/office/drawing/2014/main" id="{00000000-0008-0000-0000-00006F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81" name="TextBox 4980">
          <a:extLst>
            <a:ext uri="{FF2B5EF4-FFF2-40B4-BE49-F238E27FC236}">
              <a16:creationId xmlns:a16="http://schemas.microsoft.com/office/drawing/2014/main" id="{00000000-0008-0000-0000-000070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82" name="TextBox 4981">
          <a:extLst>
            <a:ext uri="{FF2B5EF4-FFF2-40B4-BE49-F238E27FC236}">
              <a16:creationId xmlns:a16="http://schemas.microsoft.com/office/drawing/2014/main" id="{00000000-0008-0000-0000-000071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83" name="TextBox 4982">
          <a:extLst>
            <a:ext uri="{FF2B5EF4-FFF2-40B4-BE49-F238E27FC236}">
              <a16:creationId xmlns:a16="http://schemas.microsoft.com/office/drawing/2014/main" id="{00000000-0008-0000-0000-000072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84" name="TextBox 4983">
          <a:extLst>
            <a:ext uri="{FF2B5EF4-FFF2-40B4-BE49-F238E27FC236}">
              <a16:creationId xmlns:a16="http://schemas.microsoft.com/office/drawing/2014/main" id="{00000000-0008-0000-0000-000073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85" name="TextBox 4984">
          <a:extLst>
            <a:ext uri="{FF2B5EF4-FFF2-40B4-BE49-F238E27FC236}">
              <a16:creationId xmlns:a16="http://schemas.microsoft.com/office/drawing/2014/main" id="{00000000-0008-0000-0000-000074000000}"/>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86" name="TextBox 4985">
          <a:extLst>
            <a:ext uri="{FF2B5EF4-FFF2-40B4-BE49-F238E27FC236}">
              <a16:creationId xmlns:a16="http://schemas.microsoft.com/office/drawing/2014/main" id="{00000000-0008-0000-0000-000075000000}"/>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87" name="TextBox 4986">
          <a:extLst>
            <a:ext uri="{FF2B5EF4-FFF2-40B4-BE49-F238E27FC236}">
              <a16:creationId xmlns:a16="http://schemas.microsoft.com/office/drawing/2014/main" id="{00000000-0008-0000-0000-000076000000}"/>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88" name="TextBox 4987">
          <a:extLst>
            <a:ext uri="{FF2B5EF4-FFF2-40B4-BE49-F238E27FC236}">
              <a16:creationId xmlns:a16="http://schemas.microsoft.com/office/drawing/2014/main" id="{00000000-0008-0000-0000-000077000000}"/>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89" name="TextBox 4988">
          <a:extLst>
            <a:ext uri="{FF2B5EF4-FFF2-40B4-BE49-F238E27FC236}">
              <a16:creationId xmlns:a16="http://schemas.microsoft.com/office/drawing/2014/main" id="{00000000-0008-0000-0000-000078000000}"/>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90" name="TextBox 4989">
          <a:extLst>
            <a:ext uri="{FF2B5EF4-FFF2-40B4-BE49-F238E27FC236}">
              <a16:creationId xmlns:a16="http://schemas.microsoft.com/office/drawing/2014/main" id="{00000000-0008-0000-0000-000079000000}"/>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91" name="TextBox 4990">
          <a:extLst>
            <a:ext uri="{FF2B5EF4-FFF2-40B4-BE49-F238E27FC236}">
              <a16:creationId xmlns:a16="http://schemas.microsoft.com/office/drawing/2014/main" id="{00000000-0008-0000-0000-00007A000000}"/>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92" name="TextBox 4991">
          <a:extLst>
            <a:ext uri="{FF2B5EF4-FFF2-40B4-BE49-F238E27FC236}">
              <a16:creationId xmlns:a16="http://schemas.microsoft.com/office/drawing/2014/main" id="{00000000-0008-0000-0000-00007B000000}"/>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993" name="TextBox 4992">
          <a:extLst>
            <a:ext uri="{FF2B5EF4-FFF2-40B4-BE49-F238E27FC236}">
              <a16:creationId xmlns:a16="http://schemas.microsoft.com/office/drawing/2014/main" id="{00000000-0008-0000-0000-00007C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994" name="TextBox 4993">
          <a:extLst>
            <a:ext uri="{FF2B5EF4-FFF2-40B4-BE49-F238E27FC236}">
              <a16:creationId xmlns:a16="http://schemas.microsoft.com/office/drawing/2014/main" id="{00000000-0008-0000-0000-00007D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995" name="TextBox 4994">
          <a:extLst>
            <a:ext uri="{FF2B5EF4-FFF2-40B4-BE49-F238E27FC236}">
              <a16:creationId xmlns:a16="http://schemas.microsoft.com/office/drawing/2014/main" id="{00000000-0008-0000-0000-00007E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4996" name="TextBox 4995">
          <a:extLst>
            <a:ext uri="{FF2B5EF4-FFF2-40B4-BE49-F238E27FC236}">
              <a16:creationId xmlns:a16="http://schemas.microsoft.com/office/drawing/2014/main" id="{00000000-0008-0000-0000-00007F00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97" name="TextBox 4996">
          <a:extLst>
            <a:ext uri="{FF2B5EF4-FFF2-40B4-BE49-F238E27FC236}">
              <a16:creationId xmlns:a16="http://schemas.microsoft.com/office/drawing/2014/main" id="{00000000-0008-0000-0000-000080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98" name="TextBox 4997">
          <a:extLst>
            <a:ext uri="{FF2B5EF4-FFF2-40B4-BE49-F238E27FC236}">
              <a16:creationId xmlns:a16="http://schemas.microsoft.com/office/drawing/2014/main" id="{00000000-0008-0000-0000-000081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4999" name="TextBox 4998">
          <a:extLst>
            <a:ext uri="{FF2B5EF4-FFF2-40B4-BE49-F238E27FC236}">
              <a16:creationId xmlns:a16="http://schemas.microsoft.com/office/drawing/2014/main" id="{00000000-0008-0000-0000-000082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000" name="TextBox 4999">
          <a:extLst>
            <a:ext uri="{FF2B5EF4-FFF2-40B4-BE49-F238E27FC236}">
              <a16:creationId xmlns:a16="http://schemas.microsoft.com/office/drawing/2014/main" id="{00000000-0008-0000-0000-000083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001" name="TextBox 5000">
          <a:extLst>
            <a:ext uri="{FF2B5EF4-FFF2-40B4-BE49-F238E27FC236}">
              <a16:creationId xmlns:a16="http://schemas.microsoft.com/office/drawing/2014/main" id="{00000000-0008-0000-0000-000084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002" name="TextBox 5001">
          <a:extLst>
            <a:ext uri="{FF2B5EF4-FFF2-40B4-BE49-F238E27FC236}">
              <a16:creationId xmlns:a16="http://schemas.microsoft.com/office/drawing/2014/main" id="{00000000-0008-0000-0000-000085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003" name="TextBox 5002">
          <a:extLst>
            <a:ext uri="{FF2B5EF4-FFF2-40B4-BE49-F238E27FC236}">
              <a16:creationId xmlns:a16="http://schemas.microsoft.com/office/drawing/2014/main" id="{00000000-0008-0000-0000-000086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004" name="TextBox 5003">
          <a:extLst>
            <a:ext uri="{FF2B5EF4-FFF2-40B4-BE49-F238E27FC236}">
              <a16:creationId xmlns:a16="http://schemas.microsoft.com/office/drawing/2014/main" id="{00000000-0008-0000-0000-000087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005" name="TextBox 5004">
          <a:extLst>
            <a:ext uri="{FF2B5EF4-FFF2-40B4-BE49-F238E27FC236}">
              <a16:creationId xmlns:a16="http://schemas.microsoft.com/office/drawing/2014/main" id="{00000000-0008-0000-0000-000088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006" name="TextBox 5005">
          <a:extLst>
            <a:ext uri="{FF2B5EF4-FFF2-40B4-BE49-F238E27FC236}">
              <a16:creationId xmlns:a16="http://schemas.microsoft.com/office/drawing/2014/main" id="{00000000-0008-0000-0000-000089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007" name="TextBox 5006">
          <a:extLst>
            <a:ext uri="{FF2B5EF4-FFF2-40B4-BE49-F238E27FC236}">
              <a16:creationId xmlns:a16="http://schemas.microsoft.com/office/drawing/2014/main" id="{00000000-0008-0000-0000-00008A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008" name="TextBox 5007">
          <a:extLst>
            <a:ext uri="{FF2B5EF4-FFF2-40B4-BE49-F238E27FC236}">
              <a16:creationId xmlns:a16="http://schemas.microsoft.com/office/drawing/2014/main" id="{00000000-0008-0000-0000-00008B000000}"/>
            </a:ext>
          </a:extLst>
        </xdr:cNvPr>
        <xdr:cNvSpPr txBox="1"/>
      </xdr:nvSpPr>
      <xdr:spPr>
        <a:xfrm>
          <a:off x="826770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09" name="TextBox 5008">
          <a:extLst>
            <a:ext uri="{FF2B5EF4-FFF2-40B4-BE49-F238E27FC236}">
              <a16:creationId xmlns:a16="http://schemas.microsoft.com/office/drawing/2014/main" id="{00000000-0008-0000-0000-00008C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10" name="TextBox 5009">
          <a:extLst>
            <a:ext uri="{FF2B5EF4-FFF2-40B4-BE49-F238E27FC236}">
              <a16:creationId xmlns:a16="http://schemas.microsoft.com/office/drawing/2014/main" id="{00000000-0008-0000-0000-00008D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11" name="TextBox 5010">
          <a:extLst>
            <a:ext uri="{FF2B5EF4-FFF2-40B4-BE49-F238E27FC236}">
              <a16:creationId xmlns:a16="http://schemas.microsoft.com/office/drawing/2014/main" id="{00000000-0008-0000-0000-00008E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12" name="TextBox 5011">
          <a:extLst>
            <a:ext uri="{FF2B5EF4-FFF2-40B4-BE49-F238E27FC236}">
              <a16:creationId xmlns:a16="http://schemas.microsoft.com/office/drawing/2014/main" id="{00000000-0008-0000-0000-00008F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13" name="TextBox 5012">
          <a:extLst>
            <a:ext uri="{FF2B5EF4-FFF2-40B4-BE49-F238E27FC236}">
              <a16:creationId xmlns:a16="http://schemas.microsoft.com/office/drawing/2014/main" id="{00000000-0008-0000-0000-000090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14" name="TextBox 5013">
          <a:extLst>
            <a:ext uri="{FF2B5EF4-FFF2-40B4-BE49-F238E27FC236}">
              <a16:creationId xmlns:a16="http://schemas.microsoft.com/office/drawing/2014/main" id="{00000000-0008-0000-0000-000091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15" name="TextBox 5014">
          <a:extLst>
            <a:ext uri="{FF2B5EF4-FFF2-40B4-BE49-F238E27FC236}">
              <a16:creationId xmlns:a16="http://schemas.microsoft.com/office/drawing/2014/main" id="{00000000-0008-0000-0000-000092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16" name="TextBox 5015">
          <a:extLst>
            <a:ext uri="{FF2B5EF4-FFF2-40B4-BE49-F238E27FC236}">
              <a16:creationId xmlns:a16="http://schemas.microsoft.com/office/drawing/2014/main" id="{00000000-0008-0000-0000-000093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17" name="TextBox 5016">
          <a:extLst>
            <a:ext uri="{FF2B5EF4-FFF2-40B4-BE49-F238E27FC236}">
              <a16:creationId xmlns:a16="http://schemas.microsoft.com/office/drawing/2014/main" id="{00000000-0008-0000-0000-000094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18" name="TextBox 5017">
          <a:extLst>
            <a:ext uri="{FF2B5EF4-FFF2-40B4-BE49-F238E27FC236}">
              <a16:creationId xmlns:a16="http://schemas.microsoft.com/office/drawing/2014/main" id="{00000000-0008-0000-0000-000095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19" name="TextBox 5018">
          <a:extLst>
            <a:ext uri="{FF2B5EF4-FFF2-40B4-BE49-F238E27FC236}">
              <a16:creationId xmlns:a16="http://schemas.microsoft.com/office/drawing/2014/main" id="{00000000-0008-0000-0000-000096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20" name="TextBox 5019">
          <a:extLst>
            <a:ext uri="{FF2B5EF4-FFF2-40B4-BE49-F238E27FC236}">
              <a16:creationId xmlns:a16="http://schemas.microsoft.com/office/drawing/2014/main" id="{00000000-0008-0000-0000-000097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21" name="TextBox 5020">
          <a:extLst>
            <a:ext uri="{FF2B5EF4-FFF2-40B4-BE49-F238E27FC236}">
              <a16:creationId xmlns:a16="http://schemas.microsoft.com/office/drawing/2014/main" id="{00000000-0008-0000-0000-000098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22" name="TextBox 5021">
          <a:extLst>
            <a:ext uri="{FF2B5EF4-FFF2-40B4-BE49-F238E27FC236}">
              <a16:creationId xmlns:a16="http://schemas.microsoft.com/office/drawing/2014/main" id="{00000000-0008-0000-0000-000099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23" name="TextBox 5022">
          <a:extLst>
            <a:ext uri="{FF2B5EF4-FFF2-40B4-BE49-F238E27FC236}">
              <a16:creationId xmlns:a16="http://schemas.microsoft.com/office/drawing/2014/main" id="{00000000-0008-0000-0000-00009A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24" name="TextBox 5023">
          <a:extLst>
            <a:ext uri="{FF2B5EF4-FFF2-40B4-BE49-F238E27FC236}">
              <a16:creationId xmlns:a16="http://schemas.microsoft.com/office/drawing/2014/main" id="{00000000-0008-0000-0000-00009B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25" name="TextBox 5024">
          <a:extLst>
            <a:ext uri="{FF2B5EF4-FFF2-40B4-BE49-F238E27FC236}">
              <a16:creationId xmlns:a16="http://schemas.microsoft.com/office/drawing/2014/main" id="{00000000-0008-0000-0000-00009C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26" name="TextBox 5025">
          <a:extLst>
            <a:ext uri="{FF2B5EF4-FFF2-40B4-BE49-F238E27FC236}">
              <a16:creationId xmlns:a16="http://schemas.microsoft.com/office/drawing/2014/main" id="{00000000-0008-0000-0000-00009D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27" name="TextBox 5026">
          <a:extLst>
            <a:ext uri="{FF2B5EF4-FFF2-40B4-BE49-F238E27FC236}">
              <a16:creationId xmlns:a16="http://schemas.microsoft.com/office/drawing/2014/main" id="{00000000-0008-0000-0000-00009E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28" name="TextBox 5027">
          <a:extLst>
            <a:ext uri="{FF2B5EF4-FFF2-40B4-BE49-F238E27FC236}">
              <a16:creationId xmlns:a16="http://schemas.microsoft.com/office/drawing/2014/main" id="{00000000-0008-0000-0000-00009F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29" name="TextBox 5028">
          <a:extLst>
            <a:ext uri="{FF2B5EF4-FFF2-40B4-BE49-F238E27FC236}">
              <a16:creationId xmlns:a16="http://schemas.microsoft.com/office/drawing/2014/main" id="{00000000-0008-0000-0000-0000A0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30" name="TextBox 5029">
          <a:extLst>
            <a:ext uri="{FF2B5EF4-FFF2-40B4-BE49-F238E27FC236}">
              <a16:creationId xmlns:a16="http://schemas.microsoft.com/office/drawing/2014/main" id="{00000000-0008-0000-0000-0000A1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31" name="TextBox 5030">
          <a:extLst>
            <a:ext uri="{FF2B5EF4-FFF2-40B4-BE49-F238E27FC236}">
              <a16:creationId xmlns:a16="http://schemas.microsoft.com/office/drawing/2014/main" id="{00000000-0008-0000-0000-0000A2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32" name="TextBox 5031">
          <a:extLst>
            <a:ext uri="{FF2B5EF4-FFF2-40B4-BE49-F238E27FC236}">
              <a16:creationId xmlns:a16="http://schemas.microsoft.com/office/drawing/2014/main" id="{00000000-0008-0000-0000-0000A3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33" name="TextBox 5032">
          <a:extLst>
            <a:ext uri="{FF2B5EF4-FFF2-40B4-BE49-F238E27FC236}">
              <a16:creationId xmlns:a16="http://schemas.microsoft.com/office/drawing/2014/main" id="{00000000-0008-0000-0000-0000A4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34" name="TextBox 5033">
          <a:extLst>
            <a:ext uri="{FF2B5EF4-FFF2-40B4-BE49-F238E27FC236}">
              <a16:creationId xmlns:a16="http://schemas.microsoft.com/office/drawing/2014/main" id="{00000000-0008-0000-0000-0000A5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35" name="TextBox 5034">
          <a:extLst>
            <a:ext uri="{FF2B5EF4-FFF2-40B4-BE49-F238E27FC236}">
              <a16:creationId xmlns:a16="http://schemas.microsoft.com/office/drawing/2014/main" id="{00000000-0008-0000-0000-0000A6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36" name="TextBox 5035">
          <a:extLst>
            <a:ext uri="{FF2B5EF4-FFF2-40B4-BE49-F238E27FC236}">
              <a16:creationId xmlns:a16="http://schemas.microsoft.com/office/drawing/2014/main" id="{00000000-0008-0000-0000-0000A7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37" name="TextBox 5036">
          <a:extLst>
            <a:ext uri="{FF2B5EF4-FFF2-40B4-BE49-F238E27FC236}">
              <a16:creationId xmlns:a16="http://schemas.microsoft.com/office/drawing/2014/main" id="{00000000-0008-0000-0000-0000A8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38" name="TextBox 5037">
          <a:extLst>
            <a:ext uri="{FF2B5EF4-FFF2-40B4-BE49-F238E27FC236}">
              <a16:creationId xmlns:a16="http://schemas.microsoft.com/office/drawing/2014/main" id="{00000000-0008-0000-0000-0000A9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39" name="TextBox 5038">
          <a:extLst>
            <a:ext uri="{FF2B5EF4-FFF2-40B4-BE49-F238E27FC236}">
              <a16:creationId xmlns:a16="http://schemas.microsoft.com/office/drawing/2014/main" id="{00000000-0008-0000-0000-0000AA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40" name="TextBox 5039">
          <a:extLst>
            <a:ext uri="{FF2B5EF4-FFF2-40B4-BE49-F238E27FC236}">
              <a16:creationId xmlns:a16="http://schemas.microsoft.com/office/drawing/2014/main" id="{00000000-0008-0000-0000-0000AB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41" name="TextBox 5040">
          <a:extLst>
            <a:ext uri="{FF2B5EF4-FFF2-40B4-BE49-F238E27FC236}">
              <a16:creationId xmlns:a16="http://schemas.microsoft.com/office/drawing/2014/main" id="{00000000-0008-0000-0000-0000AC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42" name="TextBox 5041">
          <a:extLst>
            <a:ext uri="{FF2B5EF4-FFF2-40B4-BE49-F238E27FC236}">
              <a16:creationId xmlns:a16="http://schemas.microsoft.com/office/drawing/2014/main" id="{00000000-0008-0000-0000-0000AD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43" name="TextBox 5042">
          <a:extLst>
            <a:ext uri="{FF2B5EF4-FFF2-40B4-BE49-F238E27FC236}">
              <a16:creationId xmlns:a16="http://schemas.microsoft.com/office/drawing/2014/main" id="{00000000-0008-0000-0000-0000AE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44" name="TextBox 5043">
          <a:extLst>
            <a:ext uri="{FF2B5EF4-FFF2-40B4-BE49-F238E27FC236}">
              <a16:creationId xmlns:a16="http://schemas.microsoft.com/office/drawing/2014/main" id="{00000000-0008-0000-0000-0000AF000000}"/>
            </a:ext>
          </a:extLst>
        </xdr:cNvPr>
        <xdr:cNvSpPr txBox="1"/>
      </xdr:nvSpPr>
      <xdr:spPr>
        <a:xfrm>
          <a:off x="826770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45" name="TextBox 5044">
          <a:extLst>
            <a:ext uri="{FF2B5EF4-FFF2-40B4-BE49-F238E27FC236}">
              <a16:creationId xmlns:a16="http://schemas.microsoft.com/office/drawing/2014/main" id="{00000000-0008-0000-0000-0000B000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46" name="TextBox 5045">
          <a:extLst>
            <a:ext uri="{FF2B5EF4-FFF2-40B4-BE49-F238E27FC236}">
              <a16:creationId xmlns:a16="http://schemas.microsoft.com/office/drawing/2014/main" id="{00000000-0008-0000-0000-0000B100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47" name="TextBox 5046">
          <a:extLst>
            <a:ext uri="{FF2B5EF4-FFF2-40B4-BE49-F238E27FC236}">
              <a16:creationId xmlns:a16="http://schemas.microsoft.com/office/drawing/2014/main" id="{00000000-0008-0000-0000-0000B200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48" name="TextBox 5047">
          <a:extLst>
            <a:ext uri="{FF2B5EF4-FFF2-40B4-BE49-F238E27FC236}">
              <a16:creationId xmlns:a16="http://schemas.microsoft.com/office/drawing/2014/main" id="{00000000-0008-0000-0000-0000B300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49" name="TextBox 5048">
          <a:extLst>
            <a:ext uri="{FF2B5EF4-FFF2-40B4-BE49-F238E27FC236}">
              <a16:creationId xmlns:a16="http://schemas.microsoft.com/office/drawing/2014/main" id="{00000000-0008-0000-0000-0000B400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50" name="TextBox 5049">
          <a:extLst>
            <a:ext uri="{FF2B5EF4-FFF2-40B4-BE49-F238E27FC236}">
              <a16:creationId xmlns:a16="http://schemas.microsoft.com/office/drawing/2014/main" id="{00000000-0008-0000-0000-0000B500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51" name="TextBox 5050">
          <a:extLst>
            <a:ext uri="{FF2B5EF4-FFF2-40B4-BE49-F238E27FC236}">
              <a16:creationId xmlns:a16="http://schemas.microsoft.com/office/drawing/2014/main" id="{00000000-0008-0000-0000-0000B600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052" name="TextBox 5051">
          <a:extLst>
            <a:ext uri="{FF2B5EF4-FFF2-40B4-BE49-F238E27FC236}">
              <a16:creationId xmlns:a16="http://schemas.microsoft.com/office/drawing/2014/main" id="{00000000-0008-0000-0000-0000B700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53" name="TextBox 5052">
          <a:extLst>
            <a:ext uri="{FF2B5EF4-FFF2-40B4-BE49-F238E27FC236}">
              <a16:creationId xmlns:a16="http://schemas.microsoft.com/office/drawing/2014/main" id="{00000000-0008-0000-0000-0000B8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54" name="TextBox 5053">
          <a:extLst>
            <a:ext uri="{FF2B5EF4-FFF2-40B4-BE49-F238E27FC236}">
              <a16:creationId xmlns:a16="http://schemas.microsoft.com/office/drawing/2014/main" id="{00000000-0008-0000-0000-0000B9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55" name="TextBox 5054">
          <a:extLst>
            <a:ext uri="{FF2B5EF4-FFF2-40B4-BE49-F238E27FC236}">
              <a16:creationId xmlns:a16="http://schemas.microsoft.com/office/drawing/2014/main" id="{00000000-0008-0000-0000-0000BA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56" name="TextBox 5055">
          <a:extLst>
            <a:ext uri="{FF2B5EF4-FFF2-40B4-BE49-F238E27FC236}">
              <a16:creationId xmlns:a16="http://schemas.microsoft.com/office/drawing/2014/main" id="{00000000-0008-0000-0000-0000BB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57" name="TextBox 5056">
          <a:extLst>
            <a:ext uri="{FF2B5EF4-FFF2-40B4-BE49-F238E27FC236}">
              <a16:creationId xmlns:a16="http://schemas.microsoft.com/office/drawing/2014/main" id="{00000000-0008-0000-0000-0000BC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58" name="TextBox 5057">
          <a:extLst>
            <a:ext uri="{FF2B5EF4-FFF2-40B4-BE49-F238E27FC236}">
              <a16:creationId xmlns:a16="http://schemas.microsoft.com/office/drawing/2014/main" id="{00000000-0008-0000-0000-0000BD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59" name="TextBox 5058">
          <a:extLst>
            <a:ext uri="{FF2B5EF4-FFF2-40B4-BE49-F238E27FC236}">
              <a16:creationId xmlns:a16="http://schemas.microsoft.com/office/drawing/2014/main" id="{00000000-0008-0000-0000-0000BE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60" name="TextBox 5059">
          <a:extLst>
            <a:ext uri="{FF2B5EF4-FFF2-40B4-BE49-F238E27FC236}">
              <a16:creationId xmlns:a16="http://schemas.microsoft.com/office/drawing/2014/main" id="{00000000-0008-0000-0000-0000BF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61" name="TextBox 5060">
          <a:extLst>
            <a:ext uri="{FF2B5EF4-FFF2-40B4-BE49-F238E27FC236}">
              <a16:creationId xmlns:a16="http://schemas.microsoft.com/office/drawing/2014/main" id="{00000000-0008-0000-0000-0000C0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62" name="TextBox 5061">
          <a:extLst>
            <a:ext uri="{FF2B5EF4-FFF2-40B4-BE49-F238E27FC236}">
              <a16:creationId xmlns:a16="http://schemas.microsoft.com/office/drawing/2014/main" id="{00000000-0008-0000-0000-0000C1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63" name="TextBox 5062">
          <a:extLst>
            <a:ext uri="{FF2B5EF4-FFF2-40B4-BE49-F238E27FC236}">
              <a16:creationId xmlns:a16="http://schemas.microsoft.com/office/drawing/2014/main" id="{00000000-0008-0000-0000-0000C2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64" name="TextBox 5063">
          <a:extLst>
            <a:ext uri="{FF2B5EF4-FFF2-40B4-BE49-F238E27FC236}">
              <a16:creationId xmlns:a16="http://schemas.microsoft.com/office/drawing/2014/main" id="{00000000-0008-0000-0000-0000C3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65" name="TextBox 5064">
          <a:extLst>
            <a:ext uri="{FF2B5EF4-FFF2-40B4-BE49-F238E27FC236}">
              <a16:creationId xmlns:a16="http://schemas.microsoft.com/office/drawing/2014/main" id="{00000000-0008-0000-0000-0000C4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66" name="TextBox 5065">
          <a:extLst>
            <a:ext uri="{FF2B5EF4-FFF2-40B4-BE49-F238E27FC236}">
              <a16:creationId xmlns:a16="http://schemas.microsoft.com/office/drawing/2014/main" id="{00000000-0008-0000-0000-0000C5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67" name="TextBox 5066">
          <a:extLst>
            <a:ext uri="{FF2B5EF4-FFF2-40B4-BE49-F238E27FC236}">
              <a16:creationId xmlns:a16="http://schemas.microsoft.com/office/drawing/2014/main" id="{00000000-0008-0000-0000-0000C6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68" name="TextBox 5067">
          <a:extLst>
            <a:ext uri="{FF2B5EF4-FFF2-40B4-BE49-F238E27FC236}">
              <a16:creationId xmlns:a16="http://schemas.microsoft.com/office/drawing/2014/main" id="{00000000-0008-0000-0000-0000C7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69" name="TextBox 5068">
          <a:extLst>
            <a:ext uri="{FF2B5EF4-FFF2-40B4-BE49-F238E27FC236}">
              <a16:creationId xmlns:a16="http://schemas.microsoft.com/office/drawing/2014/main" id="{00000000-0008-0000-0000-0000C8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70" name="TextBox 5069">
          <a:extLst>
            <a:ext uri="{FF2B5EF4-FFF2-40B4-BE49-F238E27FC236}">
              <a16:creationId xmlns:a16="http://schemas.microsoft.com/office/drawing/2014/main" id="{00000000-0008-0000-0000-0000C9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71" name="TextBox 5070">
          <a:extLst>
            <a:ext uri="{FF2B5EF4-FFF2-40B4-BE49-F238E27FC236}">
              <a16:creationId xmlns:a16="http://schemas.microsoft.com/office/drawing/2014/main" id="{00000000-0008-0000-0000-0000CA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72" name="TextBox 5071">
          <a:extLst>
            <a:ext uri="{FF2B5EF4-FFF2-40B4-BE49-F238E27FC236}">
              <a16:creationId xmlns:a16="http://schemas.microsoft.com/office/drawing/2014/main" id="{00000000-0008-0000-0000-0000CB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73" name="TextBox 5072">
          <a:extLst>
            <a:ext uri="{FF2B5EF4-FFF2-40B4-BE49-F238E27FC236}">
              <a16:creationId xmlns:a16="http://schemas.microsoft.com/office/drawing/2014/main" id="{00000000-0008-0000-0000-0000CC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74" name="TextBox 5073">
          <a:extLst>
            <a:ext uri="{FF2B5EF4-FFF2-40B4-BE49-F238E27FC236}">
              <a16:creationId xmlns:a16="http://schemas.microsoft.com/office/drawing/2014/main" id="{00000000-0008-0000-0000-0000CD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75" name="TextBox 5074">
          <a:extLst>
            <a:ext uri="{FF2B5EF4-FFF2-40B4-BE49-F238E27FC236}">
              <a16:creationId xmlns:a16="http://schemas.microsoft.com/office/drawing/2014/main" id="{00000000-0008-0000-0000-0000CE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76" name="TextBox 5075">
          <a:extLst>
            <a:ext uri="{FF2B5EF4-FFF2-40B4-BE49-F238E27FC236}">
              <a16:creationId xmlns:a16="http://schemas.microsoft.com/office/drawing/2014/main" id="{00000000-0008-0000-0000-0000CF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77" name="TextBox 5076">
          <a:extLst>
            <a:ext uri="{FF2B5EF4-FFF2-40B4-BE49-F238E27FC236}">
              <a16:creationId xmlns:a16="http://schemas.microsoft.com/office/drawing/2014/main" id="{00000000-0008-0000-0000-0000D0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78" name="TextBox 5077">
          <a:extLst>
            <a:ext uri="{FF2B5EF4-FFF2-40B4-BE49-F238E27FC236}">
              <a16:creationId xmlns:a16="http://schemas.microsoft.com/office/drawing/2014/main" id="{00000000-0008-0000-0000-0000D1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79" name="TextBox 5078">
          <a:extLst>
            <a:ext uri="{FF2B5EF4-FFF2-40B4-BE49-F238E27FC236}">
              <a16:creationId xmlns:a16="http://schemas.microsoft.com/office/drawing/2014/main" id="{00000000-0008-0000-0000-0000D2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80" name="TextBox 5079">
          <a:extLst>
            <a:ext uri="{FF2B5EF4-FFF2-40B4-BE49-F238E27FC236}">
              <a16:creationId xmlns:a16="http://schemas.microsoft.com/office/drawing/2014/main" id="{00000000-0008-0000-0000-0000D3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81" name="TextBox 5080">
          <a:extLst>
            <a:ext uri="{FF2B5EF4-FFF2-40B4-BE49-F238E27FC236}">
              <a16:creationId xmlns:a16="http://schemas.microsoft.com/office/drawing/2014/main" id="{00000000-0008-0000-0000-0000D4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82" name="TextBox 5081">
          <a:extLst>
            <a:ext uri="{FF2B5EF4-FFF2-40B4-BE49-F238E27FC236}">
              <a16:creationId xmlns:a16="http://schemas.microsoft.com/office/drawing/2014/main" id="{00000000-0008-0000-0000-0000D5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83" name="TextBox 5082">
          <a:extLst>
            <a:ext uri="{FF2B5EF4-FFF2-40B4-BE49-F238E27FC236}">
              <a16:creationId xmlns:a16="http://schemas.microsoft.com/office/drawing/2014/main" id="{00000000-0008-0000-0000-0000D6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84" name="TextBox 5083">
          <a:extLst>
            <a:ext uri="{FF2B5EF4-FFF2-40B4-BE49-F238E27FC236}">
              <a16:creationId xmlns:a16="http://schemas.microsoft.com/office/drawing/2014/main" id="{00000000-0008-0000-0000-0000D7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85" name="TextBox 5084">
          <a:extLst>
            <a:ext uri="{FF2B5EF4-FFF2-40B4-BE49-F238E27FC236}">
              <a16:creationId xmlns:a16="http://schemas.microsoft.com/office/drawing/2014/main" id="{00000000-0008-0000-0000-0000D8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86" name="TextBox 5085">
          <a:extLst>
            <a:ext uri="{FF2B5EF4-FFF2-40B4-BE49-F238E27FC236}">
              <a16:creationId xmlns:a16="http://schemas.microsoft.com/office/drawing/2014/main" id="{00000000-0008-0000-0000-0000D9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87" name="TextBox 5086">
          <a:extLst>
            <a:ext uri="{FF2B5EF4-FFF2-40B4-BE49-F238E27FC236}">
              <a16:creationId xmlns:a16="http://schemas.microsoft.com/office/drawing/2014/main" id="{00000000-0008-0000-0000-0000DA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88" name="TextBox 5087">
          <a:extLst>
            <a:ext uri="{FF2B5EF4-FFF2-40B4-BE49-F238E27FC236}">
              <a16:creationId xmlns:a16="http://schemas.microsoft.com/office/drawing/2014/main" id="{00000000-0008-0000-0000-0000DB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89" name="TextBox 5088">
          <a:extLst>
            <a:ext uri="{FF2B5EF4-FFF2-40B4-BE49-F238E27FC236}">
              <a16:creationId xmlns:a16="http://schemas.microsoft.com/office/drawing/2014/main" id="{00000000-0008-0000-0000-0000DC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90" name="TextBox 5089">
          <a:extLst>
            <a:ext uri="{FF2B5EF4-FFF2-40B4-BE49-F238E27FC236}">
              <a16:creationId xmlns:a16="http://schemas.microsoft.com/office/drawing/2014/main" id="{00000000-0008-0000-0000-0000DD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91" name="TextBox 5090">
          <a:extLst>
            <a:ext uri="{FF2B5EF4-FFF2-40B4-BE49-F238E27FC236}">
              <a16:creationId xmlns:a16="http://schemas.microsoft.com/office/drawing/2014/main" id="{00000000-0008-0000-0000-0000DE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92" name="TextBox 5091">
          <a:extLst>
            <a:ext uri="{FF2B5EF4-FFF2-40B4-BE49-F238E27FC236}">
              <a16:creationId xmlns:a16="http://schemas.microsoft.com/office/drawing/2014/main" id="{00000000-0008-0000-0000-0000DF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93" name="TextBox 5092">
          <a:extLst>
            <a:ext uri="{FF2B5EF4-FFF2-40B4-BE49-F238E27FC236}">
              <a16:creationId xmlns:a16="http://schemas.microsoft.com/office/drawing/2014/main" id="{00000000-0008-0000-0000-0000E0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94" name="TextBox 5093">
          <a:extLst>
            <a:ext uri="{FF2B5EF4-FFF2-40B4-BE49-F238E27FC236}">
              <a16:creationId xmlns:a16="http://schemas.microsoft.com/office/drawing/2014/main" id="{00000000-0008-0000-0000-0000E1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95" name="TextBox 5094">
          <a:extLst>
            <a:ext uri="{FF2B5EF4-FFF2-40B4-BE49-F238E27FC236}">
              <a16:creationId xmlns:a16="http://schemas.microsoft.com/office/drawing/2014/main" id="{00000000-0008-0000-0000-0000E2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96" name="TextBox 5095">
          <a:extLst>
            <a:ext uri="{FF2B5EF4-FFF2-40B4-BE49-F238E27FC236}">
              <a16:creationId xmlns:a16="http://schemas.microsoft.com/office/drawing/2014/main" id="{00000000-0008-0000-0000-0000E3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97" name="TextBox 5096">
          <a:extLst>
            <a:ext uri="{FF2B5EF4-FFF2-40B4-BE49-F238E27FC236}">
              <a16:creationId xmlns:a16="http://schemas.microsoft.com/office/drawing/2014/main" id="{00000000-0008-0000-0000-0000E4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98" name="TextBox 5097">
          <a:extLst>
            <a:ext uri="{FF2B5EF4-FFF2-40B4-BE49-F238E27FC236}">
              <a16:creationId xmlns:a16="http://schemas.microsoft.com/office/drawing/2014/main" id="{00000000-0008-0000-0000-0000E5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099" name="TextBox 5098">
          <a:extLst>
            <a:ext uri="{FF2B5EF4-FFF2-40B4-BE49-F238E27FC236}">
              <a16:creationId xmlns:a16="http://schemas.microsoft.com/office/drawing/2014/main" id="{00000000-0008-0000-0000-0000E6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100" name="TextBox 5099">
          <a:extLst>
            <a:ext uri="{FF2B5EF4-FFF2-40B4-BE49-F238E27FC236}">
              <a16:creationId xmlns:a16="http://schemas.microsoft.com/office/drawing/2014/main" id="{00000000-0008-0000-0000-0000E7000000}"/>
            </a:ext>
          </a:extLst>
        </xdr:cNvPr>
        <xdr:cNvSpPr txBox="1"/>
      </xdr:nvSpPr>
      <xdr:spPr>
        <a:xfrm>
          <a:off x="826770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101" name="TextBox 5100">
          <a:extLst>
            <a:ext uri="{FF2B5EF4-FFF2-40B4-BE49-F238E27FC236}">
              <a16:creationId xmlns:a16="http://schemas.microsoft.com/office/drawing/2014/main" id="{00000000-0008-0000-0000-0000E8000000}"/>
            </a:ext>
          </a:extLst>
        </xdr:cNvPr>
        <xdr:cNvSpPr txBox="1"/>
      </xdr:nvSpPr>
      <xdr:spPr>
        <a:xfrm>
          <a:off x="1258062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102" name="TextBox 5101">
          <a:extLst>
            <a:ext uri="{FF2B5EF4-FFF2-40B4-BE49-F238E27FC236}">
              <a16:creationId xmlns:a16="http://schemas.microsoft.com/office/drawing/2014/main" id="{00000000-0008-0000-0000-0000E9000000}"/>
            </a:ext>
          </a:extLst>
        </xdr:cNvPr>
        <xdr:cNvSpPr txBox="1"/>
      </xdr:nvSpPr>
      <xdr:spPr>
        <a:xfrm>
          <a:off x="1258062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103" name="TextBox 5102">
          <a:extLst>
            <a:ext uri="{FF2B5EF4-FFF2-40B4-BE49-F238E27FC236}">
              <a16:creationId xmlns:a16="http://schemas.microsoft.com/office/drawing/2014/main" id="{00000000-0008-0000-0000-0000EA000000}"/>
            </a:ext>
          </a:extLst>
        </xdr:cNvPr>
        <xdr:cNvSpPr txBox="1"/>
      </xdr:nvSpPr>
      <xdr:spPr>
        <a:xfrm>
          <a:off x="1258062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104" name="TextBox 5103">
          <a:extLst>
            <a:ext uri="{FF2B5EF4-FFF2-40B4-BE49-F238E27FC236}">
              <a16:creationId xmlns:a16="http://schemas.microsoft.com/office/drawing/2014/main" id="{00000000-0008-0000-0000-0000EB000000}"/>
            </a:ext>
          </a:extLst>
        </xdr:cNvPr>
        <xdr:cNvSpPr txBox="1"/>
      </xdr:nvSpPr>
      <xdr:spPr>
        <a:xfrm>
          <a:off x="1258062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105" name="TextBox 5104">
          <a:extLst>
            <a:ext uri="{FF2B5EF4-FFF2-40B4-BE49-F238E27FC236}">
              <a16:creationId xmlns:a16="http://schemas.microsoft.com/office/drawing/2014/main" id="{00000000-0008-0000-0000-0000EC000000}"/>
            </a:ext>
          </a:extLst>
        </xdr:cNvPr>
        <xdr:cNvSpPr txBox="1"/>
      </xdr:nvSpPr>
      <xdr:spPr>
        <a:xfrm>
          <a:off x="1258062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106" name="TextBox 5105">
          <a:extLst>
            <a:ext uri="{FF2B5EF4-FFF2-40B4-BE49-F238E27FC236}">
              <a16:creationId xmlns:a16="http://schemas.microsoft.com/office/drawing/2014/main" id="{00000000-0008-0000-0000-0000ED000000}"/>
            </a:ext>
          </a:extLst>
        </xdr:cNvPr>
        <xdr:cNvSpPr txBox="1"/>
      </xdr:nvSpPr>
      <xdr:spPr>
        <a:xfrm>
          <a:off x="1258062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107" name="TextBox 5106">
          <a:extLst>
            <a:ext uri="{FF2B5EF4-FFF2-40B4-BE49-F238E27FC236}">
              <a16:creationId xmlns:a16="http://schemas.microsoft.com/office/drawing/2014/main" id="{00000000-0008-0000-0000-0000EE000000}"/>
            </a:ext>
          </a:extLst>
        </xdr:cNvPr>
        <xdr:cNvSpPr txBox="1"/>
      </xdr:nvSpPr>
      <xdr:spPr>
        <a:xfrm>
          <a:off x="1258062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157</xdr:row>
      <xdr:rowOff>0</xdr:rowOff>
    </xdr:from>
    <xdr:ext cx="65" cy="172227"/>
    <xdr:sp macro="" textlink="">
      <xdr:nvSpPr>
        <xdr:cNvPr id="5108" name="TextBox 5107">
          <a:extLst>
            <a:ext uri="{FF2B5EF4-FFF2-40B4-BE49-F238E27FC236}">
              <a16:creationId xmlns:a16="http://schemas.microsoft.com/office/drawing/2014/main" id="{00000000-0008-0000-0000-0000EF000000}"/>
            </a:ext>
          </a:extLst>
        </xdr:cNvPr>
        <xdr:cNvSpPr txBox="1"/>
      </xdr:nvSpPr>
      <xdr:spPr>
        <a:xfrm>
          <a:off x="12580620" y="3414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09" name="TextBox 5108">
          <a:extLst>
            <a:ext uri="{FF2B5EF4-FFF2-40B4-BE49-F238E27FC236}">
              <a16:creationId xmlns:a16="http://schemas.microsoft.com/office/drawing/2014/main" id="{00000000-0008-0000-0000-0000F0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10" name="TextBox 5109">
          <a:extLst>
            <a:ext uri="{FF2B5EF4-FFF2-40B4-BE49-F238E27FC236}">
              <a16:creationId xmlns:a16="http://schemas.microsoft.com/office/drawing/2014/main" id="{00000000-0008-0000-0000-0000F1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11" name="TextBox 5110">
          <a:extLst>
            <a:ext uri="{FF2B5EF4-FFF2-40B4-BE49-F238E27FC236}">
              <a16:creationId xmlns:a16="http://schemas.microsoft.com/office/drawing/2014/main" id="{00000000-0008-0000-0000-0000F2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12" name="TextBox 5111">
          <a:extLst>
            <a:ext uri="{FF2B5EF4-FFF2-40B4-BE49-F238E27FC236}">
              <a16:creationId xmlns:a16="http://schemas.microsoft.com/office/drawing/2014/main" id="{00000000-0008-0000-0000-0000F3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13" name="TextBox 5112">
          <a:extLst>
            <a:ext uri="{FF2B5EF4-FFF2-40B4-BE49-F238E27FC236}">
              <a16:creationId xmlns:a16="http://schemas.microsoft.com/office/drawing/2014/main" id="{00000000-0008-0000-0000-0000F4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14" name="TextBox 5113">
          <a:extLst>
            <a:ext uri="{FF2B5EF4-FFF2-40B4-BE49-F238E27FC236}">
              <a16:creationId xmlns:a16="http://schemas.microsoft.com/office/drawing/2014/main" id="{00000000-0008-0000-0000-0000F5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15" name="TextBox 5114">
          <a:extLst>
            <a:ext uri="{FF2B5EF4-FFF2-40B4-BE49-F238E27FC236}">
              <a16:creationId xmlns:a16="http://schemas.microsoft.com/office/drawing/2014/main" id="{00000000-0008-0000-0000-0000F6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16" name="TextBox 5115">
          <a:extLst>
            <a:ext uri="{FF2B5EF4-FFF2-40B4-BE49-F238E27FC236}">
              <a16:creationId xmlns:a16="http://schemas.microsoft.com/office/drawing/2014/main" id="{00000000-0008-0000-0000-0000F7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17" name="TextBox 5116">
          <a:extLst>
            <a:ext uri="{FF2B5EF4-FFF2-40B4-BE49-F238E27FC236}">
              <a16:creationId xmlns:a16="http://schemas.microsoft.com/office/drawing/2014/main" id="{00000000-0008-0000-0000-0000F8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18" name="TextBox 5117">
          <a:extLst>
            <a:ext uri="{FF2B5EF4-FFF2-40B4-BE49-F238E27FC236}">
              <a16:creationId xmlns:a16="http://schemas.microsoft.com/office/drawing/2014/main" id="{00000000-0008-0000-0000-0000F9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19" name="TextBox 5118">
          <a:extLst>
            <a:ext uri="{FF2B5EF4-FFF2-40B4-BE49-F238E27FC236}">
              <a16:creationId xmlns:a16="http://schemas.microsoft.com/office/drawing/2014/main" id="{00000000-0008-0000-0000-0000FA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20" name="TextBox 5119">
          <a:extLst>
            <a:ext uri="{FF2B5EF4-FFF2-40B4-BE49-F238E27FC236}">
              <a16:creationId xmlns:a16="http://schemas.microsoft.com/office/drawing/2014/main" id="{00000000-0008-0000-0000-0000FB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21" name="TextBox 5120">
          <a:extLst>
            <a:ext uri="{FF2B5EF4-FFF2-40B4-BE49-F238E27FC236}">
              <a16:creationId xmlns:a16="http://schemas.microsoft.com/office/drawing/2014/main" id="{00000000-0008-0000-0000-0000FC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22" name="TextBox 5121">
          <a:extLst>
            <a:ext uri="{FF2B5EF4-FFF2-40B4-BE49-F238E27FC236}">
              <a16:creationId xmlns:a16="http://schemas.microsoft.com/office/drawing/2014/main" id="{00000000-0008-0000-0000-0000FD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23" name="TextBox 5122">
          <a:extLst>
            <a:ext uri="{FF2B5EF4-FFF2-40B4-BE49-F238E27FC236}">
              <a16:creationId xmlns:a16="http://schemas.microsoft.com/office/drawing/2014/main" id="{00000000-0008-0000-0000-0000FE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24" name="TextBox 5123">
          <a:extLst>
            <a:ext uri="{FF2B5EF4-FFF2-40B4-BE49-F238E27FC236}">
              <a16:creationId xmlns:a16="http://schemas.microsoft.com/office/drawing/2014/main" id="{00000000-0008-0000-0000-0000FF00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25" name="TextBox 5124">
          <a:extLst>
            <a:ext uri="{FF2B5EF4-FFF2-40B4-BE49-F238E27FC236}">
              <a16:creationId xmlns:a16="http://schemas.microsoft.com/office/drawing/2014/main" id="{00000000-0008-0000-0000-000000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26" name="TextBox 5125">
          <a:extLst>
            <a:ext uri="{FF2B5EF4-FFF2-40B4-BE49-F238E27FC236}">
              <a16:creationId xmlns:a16="http://schemas.microsoft.com/office/drawing/2014/main" id="{00000000-0008-0000-0000-000001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27" name="TextBox 5126">
          <a:extLst>
            <a:ext uri="{FF2B5EF4-FFF2-40B4-BE49-F238E27FC236}">
              <a16:creationId xmlns:a16="http://schemas.microsoft.com/office/drawing/2014/main" id="{00000000-0008-0000-0000-000002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28" name="TextBox 5127">
          <a:extLst>
            <a:ext uri="{FF2B5EF4-FFF2-40B4-BE49-F238E27FC236}">
              <a16:creationId xmlns:a16="http://schemas.microsoft.com/office/drawing/2014/main" id="{00000000-0008-0000-0000-000003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29" name="TextBox 5128">
          <a:extLst>
            <a:ext uri="{FF2B5EF4-FFF2-40B4-BE49-F238E27FC236}">
              <a16:creationId xmlns:a16="http://schemas.microsoft.com/office/drawing/2014/main" id="{00000000-0008-0000-0000-000004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30" name="TextBox 5129">
          <a:extLst>
            <a:ext uri="{FF2B5EF4-FFF2-40B4-BE49-F238E27FC236}">
              <a16:creationId xmlns:a16="http://schemas.microsoft.com/office/drawing/2014/main" id="{00000000-0008-0000-0000-000005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31" name="TextBox 5130">
          <a:extLst>
            <a:ext uri="{FF2B5EF4-FFF2-40B4-BE49-F238E27FC236}">
              <a16:creationId xmlns:a16="http://schemas.microsoft.com/office/drawing/2014/main" id="{00000000-0008-0000-0000-000006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32" name="TextBox 5131">
          <a:extLst>
            <a:ext uri="{FF2B5EF4-FFF2-40B4-BE49-F238E27FC236}">
              <a16:creationId xmlns:a16="http://schemas.microsoft.com/office/drawing/2014/main" id="{00000000-0008-0000-0000-000007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33" name="TextBox 5132">
          <a:extLst>
            <a:ext uri="{FF2B5EF4-FFF2-40B4-BE49-F238E27FC236}">
              <a16:creationId xmlns:a16="http://schemas.microsoft.com/office/drawing/2014/main" id="{00000000-0008-0000-0000-000008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34" name="TextBox 5133">
          <a:extLst>
            <a:ext uri="{FF2B5EF4-FFF2-40B4-BE49-F238E27FC236}">
              <a16:creationId xmlns:a16="http://schemas.microsoft.com/office/drawing/2014/main" id="{00000000-0008-0000-0000-000009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35" name="TextBox 5134">
          <a:extLst>
            <a:ext uri="{FF2B5EF4-FFF2-40B4-BE49-F238E27FC236}">
              <a16:creationId xmlns:a16="http://schemas.microsoft.com/office/drawing/2014/main" id="{00000000-0008-0000-0000-00000A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36" name="TextBox 5135">
          <a:extLst>
            <a:ext uri="{FF2B5EF4-FFF2-40B4-BE49-F238E27FC236}">
              <a16:creationId xmlns:a16="http://schemas.microsoft.com/office/drawing/2014/main" id="{00000000-0008-0000-0000-00000B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37" name="TextBox 5136">
          <a:extLst>
            <a:ext uri="{FF2B5EF4-FFF2-40B4-BE49-F238E27FC236}">
              <a16:creationId xmlns:a16="http://schemas.microsoft.com/office/drawing/2014/main" id="{00000000-0008-0000-0000-00000C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38" name="TextBox 5137">
          <a:extLst>
            <a:ext uri="{FF2B5EF4-FFF2-40B4-BE49-F238E27FC236}">
              <a16:creationId xmlns:a16="http://schemas.microsoft.com/office/drawing/2014/main" id="{00000000-0008-0000-0000-00000D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39" name="TextBox 5138">
          <a:extLst>
            <a:ext uri="{FF2B5EF4-FFF2-40B4-BE49-F238E27FC236}">
              <a16:creationId xmlns:a16="http://schemas.microsoft.com/office/drawing/2014/main" id="{00000000-0008-0000-0000-00000E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40" name="TextBox 5139">
          <a:extLst>
            <a:ext uri="{FF2B5EF4-FFF2-40B4-BE49-F238E27FC236}">
              <a16:creationId xmlns:a16="http://schemas.microsoft.com/office/drawing/2014/main" id="{00000000-0008-0000-0000-00000F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41" name="TextBox 5140">
          <a:extLst>
            <a:ext uri="{FF2B5EF4-FFF2-40B4-BE49-F238E27FC236}">
              <a16:creationId xmlns:a16="http://schemas.microsoft.com/office/drawing/2014/main" id="{00000000-0008-0000-0000-000010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42" name="TextBox 5141">
          <a:extLst>
            <a:ext uri="{FF2B5EF4-FFF2-40B4-BE49-F238E27FC236}">
              <a16:creationId xmlns:a16="http://schemas.microsoft.com/office/drawing/2014/main" id="{00000000-0008-0000-0000-000011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43" name="TextBox 5142">
          <a:extLst>
            <a:ext uri="{FF2B5EF4-FFF2-40B4-BE49-F238E27FC236}">
              <a16:creationId xmlns:a16="http://schemas.microsoft.com/office/drawing/2014/main" id="{00000000-0008-0000-0000-000012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44" name="TextBox 5143">
          <a:extLst>
            <a:ext uri="{FF2B5EF4-FFF2-40B4-BE49-F238E27FC236}">
              <a16:creationId xmlns:a16="http://schemas.microsoft.com/office/drawing/2014/main" id="{00000000-0008-0000-0000-000013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45" name="TextBox 5144">
          <a:extLst>
            <a:ext uri="{FF2B5EF4-FFF2-40B4-BE49-F238E27FC236}">
              <a16:creationId xmlns:a16="http://schemas.microsoft.com/office/drawing/2014/main" id="{00000000-0008-0000-0000-000014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46" name="TextBox 5145">
          <a:extLst>
            <a:ext uri="{FF2B5EF4-FFF2-40B4-BE49-F238E27FC236}">
              <a16:creationId xmlns:a16="http://schemas.microsoft.com/office/drawing/2014/main" id="{00000000-0008-0000-0000-000015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47" name="TextBox 5146">
          <a:extLst>
            <a:ext uri="{FF2B5EF4-FFF2-40B4-BE49-F238E27FC236}">
              <a16:creationId xmlns:a16="http://schemas.microsoft.com/office/drawing/2014/main" id="{00000000-0008-0000-0000-000016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48" name="TextBox 5147">
          <a:extLst>
            <a:ext uri="{FF2B5EF4-FFF2-40B4-BE49-F238E27FC236}">
              <a16:creationId xmlns:a16="http://schemas.microsoft.com/office/drawing/2014/main" id="{00000000-0008-0000-0000-000017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49" name="TextBox 5148">
          <a:extLst>
            <a:ext uri="{FF2B5EF4-FFF2-40B4-BE49-F238E27FC236}">
              <a16:creationId xmlns:a16="http://schemas.microsoft.com/office/drawing/2014/main" id="{00000000-0008-0000-0000-000018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50" name="TextBox 5149">
          <a:extLst>
            <a:ext uri="{FF2B5EF4-FFF2-40B4-BE49-F238E27FC236}">
              <a16:creationId xmlns:a16="http://schemas.microsoft.com/office/drawing/2014/main" id="{00000000-0008-0000-0000-000019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51" name="TextBox 5150">
          <a:extLst>
            <a:ext uri="{FF2B5EF4-FFF2-40B4-BE49-F238E27FC236}">
              <a16:creationId xmlns:a16="http://schemas.microsoft.com/office/drawing/2014/main" id="{00000000-0008-0000-0000-00001A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52" name="TextBox 5151">
          <a:extLst>
            <a:ext uri="{FF2B5EF4-FFF2-40B4-BE49-F238E27FC236}">
              <a16:creationId xmlns:a16="http://schemas.microsoft.com/office/drawing/2014/main" id="{00000000-0008-0000-0000-00001B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53" name="TextBox 5152">
          <a:extLst>
            <a:ext uri="{FF2B5EF4-FFF2-40B4-BE49-F238E27FC236}">
              <a16:creationId xmlns:a16="http://schemas.microsoft.com/office/drawing/2014/main" id="{00000000-0008-0000-0000-00001C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54" name="TextBox 5153">
          <a:extLst>
            <a:ext uri="{FF2B5EF4-FFF2-40B4-BE49-F238E27FC236}">
              <a16:creationId xmlns:a16="http://schemas.microsoft.com/office/drawing/2014/main" id="{00000000-0008-0000-0000-00001D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55" name="TextBox 5154">
          <a:extLst>
            <a:ext uri="{FF2B5EF4-FFF2-40B4-BE49-F238E27FC236}">
              <a16:creationId xmlns:a16="http://schemas.microsoft.com/office/drawing/2014/main" id="{00000000-0008-0000-0000-00001E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56" name="TextBox 5155">
          <a:extLst>
            <a:ext uri="{FF2B5EF4-FFF2-40B4-BE49-F238E27FC236}">
              <a16:creationId xmlns:a16="http://schemas.microsoft.com/office/drawing/2014/main" id="{00000000-0008-0000-0000-00001F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57" name="TextBox 5156">
          <a:extLst>
            <a:ext uri="{FF2B5EF4-FFF2-40B4-BE49-F238E27FC236}">
              <a16:creationId xmlns:a16="http://schemas.microsoft.com/office/drawing/2014/main" id="{00000000-0008-0000-0000-000020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58" name="TextBox 5157">
          <a:extLst>
            <a:ext uri="{FF2B5EF4-FFF2-40B4-BE49-F238E27FC236}">
              <a16:creationId xmlns:a16="http://schemas.microsoft.com/office/drawing/2014/main" id="{00000000-0008-0000-0000-000021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59" name="TextBox 5158">
          <a:extLst>
            <a:ext uri="{FF2B5EF4-FFF2-40B4-BE49-F238E27FC236}">
              <a16:creationId xmlns:a16="http://schemas.microsoft.com/office/drawing/2014/main" id="{00000000-0008-0000-0000-000022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60" name="TextBox 5159">
          <a:extLst>
            <a:ext uri="{FF2B5EF4-FFF2-40B4-BE49-F238E27FC236}">
              <a16:creationId xmlns:a16="http://schemas.microsoft.com/office/drawing/2014/main" id="{00000000-0008-0000-0000-000023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61" name="TextBox 5160">
          <a:extLst>
            <a:ext uri="{FF2B5EF4-FFF2-40B4-BE49-F238E27FC236}">
              <a16:creationId xmlns:a16="http://schemas.microsoft.com/office/drawing/2014/main" id="{00000000-0008-0000-0000-000024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62" name="TextBox 5161">
          <a:extLst>
            <a:ext uri="{FF2B5EF4-FFF2-40B4-BE49-F238E27FC236}">
              <a16:creationId xmlns:a16="http://schemas.microsoft.com/office/drawing/2014/main" id="{00000000-0008-0000-0000-000025010000}"/>
            </a:ext>
          </a:extLst>
        </xdr:cNvPr>
        <xdr:cNvSpPr txBox="1"/>
      </xdr:nvSpPr>
      <xdr:spPr>
        <a:xfrm>
          <a:off x="826770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63" name="TextBox 5162">
          <a:extLst>
            <a:ext uri="{FF2B5EF4-FFF2-40B4-BE49-F238E27FC236}">
              <a16:creationId xmlns:a16="http://schemas.microsoft.com/office/drawing/2014/main" id="{00000000-0008-0000-0000-000026010000}"/>
            </a:ext>
          </a:extLst>
        </xdr:cNvPr>
        <xdr:cNvSpPr txBox="1"/>
      </xdr:nvSpPr>
      <xdr:spPr>
        <a:xfrm>
          <a:off x="1258062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64" name="TextBox 5163">
          <a:extLst>
            <a:ext uri="{FF2B5EF4-FFF2-40B4-BE49-F238E27FC236}">
              <a16:creationId xmlns:a16="http://schemas.microsoft.com/office/drawing/2014/main" id="{00000000-0008-0000-0000-000027010000}"/>
            </a:ext>
          </a:extLst>
        </xdr:cNvPr>
        <xdr:cNvSpPr txBox="1"/>
      </xdr:nvSpPr>
      <xdr:spPr>
        <a:xfrm>
          <a:off x="1258062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65" name="TextBox 5164">
          <a:extLst>
            <a:ext uri="{FF2B5EF4-FFF2-40B4-BE49-F238E27FC236}">
              <a16:creationId xmlns:a16="http://schemas.microsoft.com/office/drawing/2014/main" id="{00000000-0008-0000-0000-000028010000}"/>
            </a:ext>
          </a:extLst>
        </xdr:cNvPr>
        <xdr:cNvSpPr txBox="1"/>
      </xdr:nvSpPr>
      <xdr:spPr>
        <a:xfrm>
          <a:off x="1258062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66" name="TextBox 5165">
          <a:extLst>
            <a:ext uri="{FF2B5EF4-FFF2-40B4-BE49-F238E27FC236}">
              <a16:creationId xmlns:a16="http://schemas.microsoft.com/office/drawing/2014/main" id="{00000000-0008-0000-0000-000029010000}"/>
            </a:ext>
          </a:extLst>
        </xdr:cNvPr>
        <xdr:cNvSpPr txBox="1"/>
      </xdr:nvSpPr>
      <xdr:spPr>
        <a:xfrm>
          <a:off x="1258062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67" name="TextBox 5166">
          <a:extLst>
            <a:ext uri="{FF2B5EF4-FFF2-40B4-BE49-F238E27FC236}">
              <a16:creationId xmlns:a16="http://schemas.microsoft.com/office/drawing/2014/main" id="{00000000-0008-0000-0000-00002A010000}"/>
            </a:ext>
          </a:extLst>
        </xdr:cNvPr>
        <xdr:cNvSpPr txBox="1"/>
      </xdr:nvSpPr>
      <xdr:spPr>
        <a:xfrm>
          <a:off x="1258062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68" name="TextBox 5167">
          <a:extLst>
            <a:ext uri="{FF2B5EF4-FFF2-40B4-BE49-F238E27FC236}">
              <a16:creationId xmlns:a16="http://schemas.microsoft.com/office/drawing/2014/main" id="{00000000-0008-0000-0000-00002B010000}"/>
            </a:ext>
          </a:extLst>
        </xdr:cNvPr>
        <xdr:cNvSpPr txBox="1"/>
      </xdr:nvSpPr>
      <xdr:spPr>
        <a:xfrm>
          <a:off x="1258062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69" name="TextBox 5168">
          <a:extLst>
            <a:ext uri="{FF2B5EF4-FFF2-40B4-BE49-F238E27FC236}">
              <a16:creationId xmlns:a16="http://schemas.microsoft.com/office/drawing/2014/main" id="{00000000-0008-0000-0000-00002C010000}"/>
            </a:ext>
          </a:extLst>
        </xdr:cNvPr>
        <xdr:cNvSpPr txBox="1"/>
      </xdr:nvSpPr>
      <xdr:spPr>
        <a:xfrm>
          <a:off x="1258062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158</xdr:row>
      <xdr:rowOff>0</xdr:rowOff>
    </xdr:from>
    <xdr:ext cx="65" cy="172227"/>
    <xdr:sp macro="" textlink="">
      <xdr:nvSpPr>
        <xdr:cNvPr id="5170" name="TextBox 5169">
          <a:extLst>
            <a:ext uri="{FF2B5EF4-FFF2-40B4-BE49-F238E27FC236}">
              <a16:creationId xmlns:a16="http://schemas.microsoft.com/office/drawing/2014/main" id="{00000000-0008-0000-0000-00002D010000}"/>
            </a:ext>
          </a:extLst>
        </xdr:cNvPr>
        <xdr:cNvSpPr txBox="1"/>
      </xdr:nvSpPr>
      <xdr:spPr>
        <a:xfrm>
          <a:off x="12580620" y="34343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71" name="TextBox 5170">
          <a:extLst>
            <a:ext uri="{FF2B5EF4-FFF2-40B4-BE49-F238E27FC236}">
              <a16:creationId xmlns:a16="http://schemas.microsoft.com/office/drawing/2014/main" id="{00000000-0008-0000-0000-00002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72" name="TextBox 5171">
          <a:extLst>
            <a:ext uri="{FF2B5EF4-FFF2-40B4-BE49-F238E27FC236}">
              <a16:creationId xmlns:a16="http://schemas.microsoft.com/office/drawing/2014/main" id="{00000000-0008-0000-0000-00002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73" name="TextBox 5172">
          <a:extLst>
            <a:ext uri="{FF2B5EF4-FFF2-40B4-BE49-F238E27FC236}">
              <a16:creationId xmlns:a16="http://schemas.microsoft.com/office/drawing/2014/main" id="{00000000-0008-0000-0000-00003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74" name="TextBox 5173">
          <a:extLst>
            <a:ext uri="{FF2B5EF4-FFF2-40B4-BE49-F238E27FC236}">
              <a16:creationId xmlns:a16="http://schemas.microsoft.com/office/drawing/2014/main" id="{00000000-0008-0000-0000-00003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75" name="TextBox 5174">
          <a:extLst>
            <a:ext uri="{FF2B5EF4-FFF2-40B4-BE49-F238E27FC236}">
              <a16:creationId xmlns:a16="http://schemas.microsoft.com/office/drawing/2014/main" id="{00000000-0008-0000-0000-000032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76" name="TextBox 5175">
          <a:extLst>
            <a:ext uri="{FF2B5EF4-FFF2-40B4-BE49-F238E27FC236}">
              <a16:creationId xmlns:a16="http://schemas.microsoft.com/office/drawing/2014/main" id="{00000000-0008-0000-0000-000033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77" name="TextBox 5176">
          <a:extLst>
            <a:ext uri="{FF2B5EF4-FFF2-40B4-BE49-F238E27FC236}">
              <a16:creationId xmlns:a16="http://schemas.microsoft.com/office/drawing/2014/main" id="{00000000-0008-0000-0000-000034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78" name="TextBox 5177">
          <a:extLst>
            <a:ext uri="{FF2B5EF4-FFF2-40B4-BE49-F238E27FC236}">
              <a16:creationId xmlns:a16="http://schemas.microsoft.com/office/drawing/2014/main" id="{00000000-0008-0000-0000-000035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79" name="TextBox 5178">
          <a:extLst>
            <a:ext uri="{FF2B5EF4-FFF2-40B4-BE49-F238E27FC236}">
              <a16:creationId xmlns:a16="http://schemas.microsoft.com/office/drawing/2014/main" id="{00000000-0008-0000-0000-000036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80" name="TextBox 5179">
          <a:extLst>
            <a:ext uri="{FF2B5EF4-FFF2-40B4-BE49-F238E27FC236}">
              <a16:creationId xmlns:a16="http://schemas.microsoft.com/office/drawing/2014/main" id="{00000000-0008-0000-0000-000037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81" name="TextBox 5180">
          <a:extLst>
            <a:ext uri="{FF2B5EF4-FFF2-40B4-BE49-F238E27FC236}">
              <a16:creationId xmlns:a16="http://schemas.microsoft.com/office/drawing/2014/main" id="{00000000-0008-0000-0000-000038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82" name="TextBox 5181">
          <a:extLst>
            <a:ext uri="{FF2B5EF4-FFF2-40B4-BE49-F238E27FC236}">
              <a16:creationId xmlns:a16="http://schemas.microsoft.com/office/drawing/2014/main" id="{00000000-0008-0000-0000-000039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83" name="TextBox 5182">
          <a:extLst>
            <a:ext uri="{FF2B5EF4-FFF2-40B4-BE49-F238E27FC236}">
              <a16:creationId xmlns:a16="http://schemas.microsoft.com/office/drawing/2014/main" id="{00000000-0008-0000-0000-00003A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84" name="TextBox 5183">
          <a:extLst>
            <a:ext uri="{FF2B5EF4-FFF2-40B4-BE49-F238E27FC236}">
              <a16:creationId xmlns:a16="http://schemas.microsoft.com/office/drawing/2014/main" id="{00000000-0008-0000-0000-00003B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85" name="TextBox 5184">
          <a:extLst>
            <a:ext uri="{FF2B5EF4-FFF2-40B4-BE49-F238E27FC236}">
              <a16:creationId xmlns:a16="http://schemas.microsoft.com/office/drawing/2014/main" id="{00000000-0008-0000-0000-00003C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86" name="TextBox 5185">
          <a:extLst>
            <a:ext uri="{FF2B5EF4-FFF2-40B4-BE49-F238E27FC236}">
              <a16:creationId xmlns:a16="http://schemas.microsoft.com/office/drawing/2014/main" id="{00000000-0008-0000-0000-00003D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87" name="TextBox 5186">
          <a:extLst>
            <a:ext uri="{FF2B5EF4-FFF2-40B4-BE49-F238E27FC236}">
              <a16:creationId xmlns:a16="http://schemas.microsoft.com/office/drawing/2014/main" id="{00000000-0008-0000-0000-00003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88" name="TextBox 5187">
          <a:extLst>
            <a:ext uri="{FF2B5EF4-FFF2-40B4-BE49-F238E27FC236}">
              <a16:creationId xmlns:a16="http://schemas.microsoft.com/office/drawing/2014/main" id="{00000000-0008-0000-0000-00003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89" name="TextBox 5188">
          <a:extLst>
            <a:ext uri="{FF2B5EF4-FFF2-40B4-BE49-F238E27FC236}">
              <a16:creationId xmlns:a16="http://schemas.microsoft.com/office/drawing/2014/main" id="{00000000-0008-0000-0000-00004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90" name="TextBox 5189">
          <a:extLst>
            <a:ext uri="{FF2B5EF4-FFF2-40B4-BE49-F238E27FC236}">
              <a16:creationId xmlns:a16="http://schemas.microsoft.com/office/drawing/2014/main" id="{00000000-0008-0000-0000-00004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91" name="TextBox 5190">
          <a:extLst>
            <a:ext uri="{FF2B5EF4-FFF2-40B4-BE49-F238E27FC236}">
              <a16:creationId xmlns:a16="http://schemas.microsoft.com/office/drawing/2014/main" id="{00000000-0008-0000-0000-000042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92" name="TextBox 5191">
          <a:extLst>
            <a:ext uri="{FF2B5EF4-FFF2-40B4-BE49-F238E27FC236}">
              <a16:creationId xmlns:a16="http://schemas.microsoft.com/office/drawing/2014/main" id="{00000000-0008-0000-0000-000043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93" name="TextBox 5192">
          <a:extLst>
            <a:ext uri="{FF2B5EF4-FFF2-40B4-BE49-F238E27FC236}">
              <a16:creationId xmlns:a16="http://schemas.microsoft.com/office/drawing/2014/main" id="{00000000-0008-0000-0000-000044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94" name="TextBox 5193">
          <a:extLst>
            <a:ext uri="{FF2B5EF4-FFF2-40B4-BE49-F238E27FC236}">
              <a16:creationId xmlns:a16="http://schemas.microsoft.com/office/drawing/2014/main" id="{00000000-0008-0000-0000-000045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95" name="TextBox 5194">
          <a:extLst>
            <a:ext uri="{FF2B5EF4-FFF2-40B4-BE49-F238E27FC236}">
              <a16:creationId xmlns:a16="http://schemas.microsoft.com/office/drawing/2014/main" id="{00000000-0008-0000-0000-000046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96" name="TextBox 5195">
          <a:extLst>
            <a:ext uri="{FF2B5EF4-FFF2-40B4-BE49-F238E27FC236}">
              <a16:creationId xmlns:a16="http://schemas.microsoft.com/office/drawing/2014/main" id="{00000000-0008-0000-0000-000047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97" name="TextBox 5196">
          <a:extLst>
            <a:ext uri="{FF2B5EF4-FFF2-40B4-BE49-F238E27FC236}">
              <a16:creationId xmlns:a16="http://schemas.microsoft.com/office/drawing/2014/main" id="{00000000-0008-0000-0000-000048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98" name="TextBox 5197">
          <a:extLst>
            <a:ext uri="{FF2B5EF4-FFF2-40B4-BE49-F238E27FC236}">
              <a16:creationId xmlns:a16="http://schemas.microsoft.com/office/drawing/2014/main" id="{00000000-0008-0000-0000-000049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199" name="TextBox 5198">
          <a:extLst>
            <a:ext uri="{FF2B5EF4-FFF2-40B4-BE49-F238E27FC236}">
              <a16:creationId xmlns:a16="http://schemas.microsoft.com/office/drawing/2014/main" id="{00000000-0008-0000-0000-00004A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00" name="TextBox 5199">
          <a:extLst>
            <a:ext uri="{FF2B5EF4-FFF2-40B4-BE49-F238E27FC236}">
              <a16:creationId xmlns:a16="http://schemas.microsoft.com/office/drawing/2014/main" id="{00000000-0008-0000-0000-00004B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01" name="TextBox 5200">
          <a:extLst>
            <a:ext uri="{FF2B5EF4-FFF2-40B4-BE49-F238E27FC236}">
              <a16:creationId xmlns:a16="http://schemas.microsoft.com/office/drawing/2014/main" id="{00000000-0008-0000-0000-00004C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02" name="TextBox 5201">
          <a:extLst>
            <a:ext uri="{FF2B5EF4-FFF2-40B4-BE49-F238E27FC236}">
              <a16:creationId xmlns:a16="http://schemas.microsoft.com/office/drawing/2014/main" id="{00000000-0008-0000-0000-00004D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03" name="TextBox 5202">
          <a:extLst>
            <a:ext uri="{FF2B5EF4-FFF2-40B4-BE49-F238E27FC236}">
              <a16:creationId xmlns:a16="http://schemas.microsoft.com/office/drawing/2014/main" id="{00000000-0008-0000-0000-00004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04" name="TextBox 5203">
          <a:extLst>
            <a:ext uri="{FF2B5EF4-FFF2-40B4-BE49-F238E27FC236}">
              <a16:creationId xmlns:a16="http://schemas.microsoft.com/office/drawing/2014/main" id="{00000000-0008-0000-0000-00004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05" name="TextBox 5204">
          <a:extLst>
            <a:ext uri="{FF2B5EF4-FFF2-40B4-BE49-F238E27FC236}">
              <a16:creationId xmlns:a16="http://schemas.microsoft.com/office/drawing/2014/main" id="{00000000-0008-0000-0000-00005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06" name="TextBox 5205">
          <a:extLst>
            <a:ext uri="{FF2B5EF4-FFF2-40B4-BE49-F238E27FC236}">
              <a16:creationId xmlns:a16="http://schemas.microsoft.com/office/drawing/2014/main" id="{00000000-0008-0000-0000-00005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07" name="TextBox 5206">
          <a:extLst>
            <a:ext uri="{FF2B5EF4-FFF2-40B4-BE49-F238E27FC236}">
              <a16:creationId xmlns:a16="http://schemas.microsoft.com/office/drawing/2014/main" id="{00000000-0008-0000-0000-000052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08" name="TextBox 5207">
          <a:extLst>
            <a:ext uri="{FF2B5EF4-FFF2-40B4-BE49-F238E27FC236}">
              <a16:creationId xmlns:a16="http://schemas.microsoft.com/office/drawing/2014/main" id="{00000000-0008-0000-0000-000053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09" name="TextBox 5208">
          <a:extLst>
            <a:ext uri="{FF2B5EF4-FFF2-40B4-BE49-F238E27FC236}">
              <a16:creationId xmlns:a16="http://schemas.microsoft.com/office/drawing/2014/main" id="{00000000-0008-0000-0000-000054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10" name="TextBox 5209">
          <a:extLst>
            <a:ext uri="{FF2B5EF4-FFF2-40B4-BE49-F238E27FC236}">
              <a16:creationId xmlns:a16="http://schemas.microsoft.com/office/drawing/2014/main" id="{00000000-0008-0000-0000-000055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11" name="TextBox 5210">
          <a:extLst>
            <a:ext uri="{FF2B5EF4-FFF2-40B4-BE49-F238E27FC236}">
              <a16:creationId xmlns:a16="http://schemas.microsoft.com/office/drawing/2014/main" id="{00000000-0008-0000-0000-000056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12" name="TextBox 5211">
          <a:extLst>
            <a:ext uri="{FF2B5EF4-FFF2-40B4-BE49-F238E27FC236}">
              <a16:creationId xmlns:a16="http://schemas.microsoft.com/office/drawing/2014/main" id="{00000000-0008-0000-0000-000057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13" name="TextBox 5212">
          <a:extLst>
            <a:ext uri="{FF2B5EF4-FFF2-40B4-BE49-F238E27FC236}">
              <a16:creationId xmlns:a16="http://schemas.microsoft.com/office/drawing/2014/main" id="{00000000-0008-0000-0000-000058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14" name="TextBox 5213">
          <a:extLst>
            <a:ext uri="{FF2B5EF4-FFF2-40B4-BE49-F238E27FC236}">
              <a16:creationId xmlns:a16="http://schemas.microsoft.com/office/drawing/2014/main" id="{00000000-0008-0000-0000-000059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15" name="TextBox 5214">
          <a:extLst>
            <a:ext uri="{FF2B5EF4-FFF2-40B4-BE49-F238E27FC236}">
              <a16:creationId xmlns:a16="http://schemas.microsoft.com/office/drawing/2014/main" id="{00000000-0008-0000-0000-00005A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16" name="TextBox 5215">
          <a:extLst>
            <a:ext uri="{FF2B5EF4-FFF2-40B4-BE49-F238E27FC236}">
              <a16:creationId xmlns:a16="http://schemas.microsoft.com/office/drawing/2014/main" id="{00000000-0008-0000-0000-00005B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17" name="TextBox 5216">
          <a:extLst>
            <a:ext uri="{FF2B5EF4-FFF2-40B4-BE49-F238E27FC236}">
              <a16:creationId xmlns:a16="http://schemas.microsoft.com/office/drawing/2014/main" id="{00000000-0008-0000-0000-00005C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18" name="TextBox 5217">
          <a:extLst>
            <a:ext uri="{FF2B5EF4-FFF2-40B4-BE49-F238E27FC236}">
              <a16:creationId xmlns:a16="http://schemas.microsoft.com/office/drawing/2014/main" id="{00000000-0008-0000-0000-00005D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19" name="TextBox 5218">
          <a:extLst>
            <a:ext uri="{FF2B5EF4-FFF2-40B4-BE49-F238E27FC236}">
              <a16:creationId xmlns:a16="http://schemas.microsoft.com/office/drawing/2014/main" id="{00000000-0008-0000-0000-00005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20" name="TextBox 5219">
          <a:extLst>
            <a:ext uri="{FF2B5EF4-FFF2-40B4-BE49-F238E27FC236}">
              <a16:creationId xmlns:a16="http://schemas.microsoft.com/office/drawing/2014/main" id="{00000000-0008-0000-0000-00005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21" name="TextBox 5220">
          <a:extLst>
            <a:ext uri="{FF2B5EF4-FFF2-40B4-BE49-F238E27FC236}">
              <a16:creationId xmlns:a16="http://schemas.microsoft.com/office/drawing/2014/main" id="{00000000-0008-0000-0000-00006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22" name="TextBox 5221">
          <a:extLst>
            <a:ext uri="{FF2B5EF4-FFF2-40B4-BE49-F238E27FC236}">
              <a16:creationId xmlns:a16="http://schemas.microsoft.com/office/drawing/2014/main" id="{00000000-0008-0000-0000-00006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23" name="TextBox 5222">
          <a:extLst>
            <a:ext uri="{FF2B5EF4-FFF2-40B4-BE49-F238E27FC236}">
              <a16:creationId xmlns:a16="http://schemas.microsoft.com/office/drawing/2014/main" id="{00000000-0008-0000-0000-000062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24" name="TextBox 5223">
          <a:extLst>
            <a:ext uri="{FF2B5EF4-FFF2-40B4-BE49-F238E27FC236}">
              <a16:creationId xmlns:a16="http://schemas.microsoft.com/office/drawing/2014/main" id="{00000000-0008-0000-0000-000063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25" name="TextBox 5224">
          <a:extLst>
            <a:ext uri="{FF2B5EF4-FFF2-40B4-BE49-F238E27FC236}">
              <a16:creationId xmlns:a16="http://schemas.microsoft.com/office/drawing/2014/main" id="{00000000-0008-0000-0000-000064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26" name="TextBox 5225">
          <a:extLst>
            <a:ext uri="{FF2B5EF4-FFF2-40B4-BE49-F238E27FC236}">
              <a16:creationId xmlns:a16="http://schemas.microsoft.com/office/drawing/2014/main" id="{00000000-0008-0000-0000-000065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27" name="TextBox 5226">
          <a:extLst>
            <a:ext uri="{FF2B5EF4-FFF2-40B4-BE49-F238E27FC236}">
              <a16:creationId xmlns:a16="http://schemas.microsoft.com/office/drawing/2014/main" id="{00000000-0008-0000-0000-000066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28" name="TextBox 5227">
          <a:extLst>
            <a:ext uri="{FF2B5EF4-FFF2-40B4-BE49-F238E27FC236}">
              <a16:creationId xmlns:a16="http://schemas.microsoft.com/office/drawing/2014/main" id="{00000000-0008-0000-0000-000067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29" name="TextBox 5228">
          <a:extLst>
            <a:ext uri="{FF2B5EF4-FFF2-40B4-BE49-F238E27FC236}">
              <a16:creationId xmlns:a16="http://schemas.microsoft.com/office/drawing/2014/main" id="{00000000-0008-0000-0000-000068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30" name="TextBox 5229">
          <a:extLst>
            <a:ext uri="{FF2B5EF4-FFF2-40B4-BE49-F238E27FC236}">
              <a16:creationId xmlns:a16="http://schemas.microsoft.com/office/drawing/2014/main" id="{00000000-0008-0000-0000-000069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31" name="TextBox 5230">
          <a:extLst>
            <a:ext uri="{FF2B5EF4-FFF2-40B4-BE49-F238E27FC236}">
              <a16:creationId xmlns:a16="http://schemas.microsoft.com/office/drawing/2014/main" id="{00000000-0008-0000-0000-00006A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32" name="TextBox 5231">
          <a:extLst>
            <a:ext uri="{FF2B5EF4-FFF2-40B4-BE49-F238E27FC236}">
              <a16:creationId xmlns:a16="http://schemas.microsoft.com/office/drawing/2014/main" id="{00000000-0008-0000-0000-00006B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33" name="TextBox 5232">
          <a:extLst>
            <a:ext uri="{FF2B5EF4-FFF2-40B4-BE49-F238E27FC236}">
              <a16:creationId xmlns:a16="http://schemas.microsoft.com/office/drawing/2014/main" id="{00000000-0008-0000-0000-00006C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234" name="TextBox 5233">
          <a:extLst>
            <a:ext uri="{FF2B5EF4-FFF2-40B4-BE49-F238E27FC236}">
              <a16:creationId xmlns:a16="http://schemas.microsoft.com/office/drawing/2014/main" id="{00000000-0008-0000-0000-00006D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35" name="TextBox 5234">
          <a:extLst>
            <a:ext uri="{FF2B5EF4-FFF2-40B4-BE49-F238E27FC236}">
              <a16:creationId xmlns:a16="http://schemas.microsoft.com/office/drawing/2014/main" id="{00000000-0008-0000-0000-00006E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36" name="TextBox 5235">
          <a:extLst>
            <a:ext uri="{FF2B5EF4-FFF2-40B4-BE49-F238E27FC236}">
              <a16:creationId xmlns:a16="http://schemas.microsoft.com/office/drawing/2014/main" id="{00000000-0008-0000-0000-00006F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37" name="TextBox 5236">
          <a:extLst>
            <a:ext uri="{FF2B5EF4-FFF2-40B4-BE49-F238E27FC236}">
              <a16:creationId xmlns:a16="http://schemas.microsoft.com/office/drawing/2014/main" id="{00000000-0008-0000-0000-000070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38" name="TextBox 5237">
          <a:extLst>
            <a:ext uri="{FF2B5EF4-FFF2-40B4-BE49-F238E27FC236}">
              <a16:creationId xmlns:a16="http://schemas.microsoft.com/office/drawing/2014/main" id="{00000000-0008-0000-0000-000071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39" name="TextBox 5238">
          <a:extLst>
            <a:ext uri="{FF2B5EF4-FFF2-40B4-BE49-F238E27FC236}">
              <a16:creationId xmlns:a16="http://schemas.microsoft.com/office/drawing/2014/main" id="{00000000-0008-0000-0000-000072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40" name="TextBox 5239">
          <a:extLst>
            <a:ext uri="{FF2B5EF4-FFF2-40B4-BE49-F238E27FC236}">
              <a16:creationId xmlns:a16="http://schemas.microsoft.com/office/drawing/2014/main" id="{00000000-0008-0000-0000-000073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41" name="TextBox 5240">
          <a:extLst>
            <a:ext uri="{FF2B5EF4-FFF2-40B4-BE49-F238E27FC236}">
              <a16:creationId xmlns:a16="http://schemas.microsoft.com/office/drawing/2014/main" id="{00000000-0008-0000-0000-000074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42" name="TextBox 5241">
          <a:extLst>
            <a:ext uri="{FF2B5EF4-FFF2-40B4-BE49-F238E27FC236}">
              <a16:creationId xmlns:a16="http://schemas.microsoft.com/office/drawing/2014/main" id="{00000000-0008-0000-0000-000075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43" name="TextBox 5242">
          <a:extLst>
            <a:ext uri="{FF2B5EF4-FFF2-40B4-BE49-F238E27FC236}">
              <a16:creationId xmlns:a16="http://schemas.microsoft.com/office/drawing/2014/main" id="{00000000-0008-0000-0000-000076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44" name="TextBox 5243">
          <a:extLst>
            <a:ext uri="{FF2B5EF4-FFF2-40B4-BE49-F238E27FC236}">
              <a16:creationId xmlns:a16="http://schemas.microsoft.com/office/drawing/2014/main" id="{00000000-0008-0000-0000-000077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45" name="TextBox 5244">
          <a:extLst>
            <a:ext uri="{FF2B5EF4-FFF2-40B4-BE49-F238E27FC236}">
              <a16:creationId xmlns:a16="http://schemas.microsoft.com/office/drawing/2014/main" id="{00000000-0008-0000-0000-000078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46" name="TextBox 5245">
          <a:extLst>
            <a:ext uri="{FF2B5EF4-FFF2-40B4-BE49-F238E27FC236}">
              <a16:creationId xmlns:a16="http://schemas.microsoft.com/office/drawing/2014/main" id="{00000000-0008-0000-0000-000079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47" name="TextBox 5246">
          <a:extLst>
            <a:ext uri="{FF2B5EF4-FFF2-40B4-BE49-F238E27FC236}">
              <a16:creationId xmlns:a16="http://schemas.microsoft.com/office/drawing/2014/main" id="{00000000-0008-0000-0000-00007A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48" name="TextBox 5247">
          <a:extLst>
            <a:ext uri="{FF2B5EF4-FFF2-40B4-BE49-F238E27FC236}">
              <a16:creationId xmlns:a16="http://schemas.microsoft.com/office/drawing/2014/main" id="{00000000-0008-0000-0000-00007B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49" name="TextBox 5248">
          <a:extLst>
            <a:ext uri="{FF2B5EF4-FFF2-40B4-BE49-F238E27FC236}">
              <a16:creationId xmlns:a16="http://schemas.microsoft.com/office/drawing/2014/main" id="{00000000-0008-0000-0000-00007C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50" name="TextBox 5249">
          <a:extLst>
            <a:ext uri="{FF2B5EF4-FFF2-40B4-BE49-F238E27FC236}">
              <a16:creationId xmlns:a16="http://schemas.microsoft.com/office/drawing/2014/main" id="{00000000-0008-0000-0000-00007D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51" name="TextBox 5250">
          <a:extLst>
            <a:ext uri="{FF2B5EF4-FFF2-40B4-BE49-F238E27FC236}">
              <a16:creationId xmlns:a16="http://schemas.microsoft.com/office/drawing/2014/main" id="{00000000-0008-0000-0000-00007E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52" name="TextBox 5251">
          <a:extLst>
            <a:ext uri="{FF2B5EF4-FFF2-40B4-BE49-F238E27FC236}">
              <a16:creationId xmlns:a16="http://schemas.microsoft.com/office/drawing/2014/main" id="{00000000-0008-0000-0000-00007F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53" name="TextBox 5252">
          <a:extLst>
            <a:ext uri="{FF2B5EF4-FFF2-40B4-BE49-F238E27FC236}">
              <a16:creationId xmlns:a16="http://schemas.microsoft.com/office/drawing/2014/main" id="{00000000-0008-0000-0000-000080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54" name="TextBox 5253">
          <a:extLst>
            <a:ext uri="{FF2B5EF4-FFF2-40B4-BE49-F238E27FC236}">
              <a16:creationId xmlns:a16="http://schemas.microsoft.com/office/drawing/2014/main" id="{00000000-0008-0000-0000-000081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55" name="TextBox 5254">
          <a:extLst>
            <a:ext uri="{FF2B5EF4-FFF2-40B4-BE49-F238E27FC236}">
              <a16:creationId xmlns:a16="http://schemas.microsoft.com/office/drawing/2014/main" id="{00000000-0008-0000-0000-000082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56" name="TextBox 5255">
          <a:extLst>
            <a:ext uri="{FF2B5EF4-FFF2-40B4-BE49-F238E27FC236}">
              <a16:creationId xmlns:a16="http://schemas.microsoft.com/office/drawing/2014/main" id="{00000000-0008-0000-0000-000083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57" name="TextBox 5256">
          <a:extLst>
            <a:ext uri="{FF2B5EF4-FFF2-40B4-BE49-F238E27FC236}">
              <a16:creationId xmlns:a16="http://schemas.microsoft.com/office/drawing/2014/main" id="{00000000-0008-0000-0000-000084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58" name="TextBox 5257">
          <a:extLst>
            <a:ext uri="{FF2B5EF4-FFF2-40B4-BE49-F238E27FC236}">
              <a16:creationId xmlns:a16="http://schemas.microsoft.com/office/drawing/2014/main" id="{00000000-0008-0000-0000-000085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59" name="TextBox 5258">
          <a:extLst>
            <a:ext uri="{FF2B5EF4-FFF2-40B4-BE49-F238E27FC236}">
              <a16:creationId xmlns:a16="http://schemas.microsoft.com/office/drawing/2014/main" id="{00000000-0008-0000-0000-000086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60" name="TextBox 5259">
          <a:extLst>
            <a:ext uri="{FF2B5EF4-FFF2-40B4-BE49-F238E27FC236}">
              <a16:creationId xmlns:a16="http://schemas.microsoft.com/office/drawing/2014/main" id="{00000000-0008-0000-0000-000087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61" name="TextBox 5260">
          <a:extLst>
            <a:ext uri="{FF2B5EF4-FFF2-40B4-BE49-F238E27FC236}">
              <a16:creationId xmlns:a16="http://schemas.microsoft.com/office/drawing/2014/main" id="{00000000-0008-0000-0000-000088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62" name="TextBox 5261">
          <a:extLst>
            <a:ext uri="{FF2B5EF4-FFF2-40B4-BE49-F238E27FC236}">
              <a16:creationId xmlns:a16="http://schemas.microsoft.com/office/drawing/2014/main" id="{00000000-0008-0000-0000-000089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63" name="TextBox 5262">
          <a:extLst>
            <a:ext uri="{FF2B5EF4-FFF2-40B4-BE49-F238E27FC236}">
              <a16:creationId xmlns:a16="http://schemas.microsoft.com/office/drawing/2014/main" id="{00000000-0008-0000-0000-00008A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64" name="TextBox 5263">
          <a:extLst>
            <a:ext uri="{FF2B5EF4-FFF2-40B4-BE49-F238E27FC236}">
              <a16:creationId xmlns:a16="http://schemas.microsoft.com/office/drawing/2014/main" id="{00000000-0008-0000-0000-00008B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65" name="TextBox 5264">
          <a:extLst>
            <a:ext uri="{FF2B5EF4-FFF2-40B4-BE49-F238E27FC236}">
              <a16:creationId xmlns:a16="http://schemas.microsoft.com/office/drawing/2014/main" id="{00000000-0008-0000-0000-00008C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66" name="TextBox 5265">
          <a:extLst>
            <a:ext uri="{FF2B5EF4-FFF2-40B4-BE49-F238E27FC236}">
              <a16:creationId xmlns:a16="http://schemas.microsoft.com/office/drawing/2014/main" id="{00000000-0008-0000-0000-00008D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67" name="TextBox 5266">
          <a:extLst>
            <a:ext uri="{FF2B5EF4-FFF2-40B4-BE49-F238E27FC236}">
              <a16:creationId xmlns:a16="http://schemas.microsoft.com/office/drawing/2014/main" id="{00000000-0008-0000-0000-00008E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68" name="TextBox 5267">
          <a:extLst>
            <a:ext uri="{FF2B5EF4-FFF2-40B4-BE49-F238E27FC236}">
              <a16:creationId xmlns:a16="http://schemas.microsoft.com/office/drawing/2014/main" id="{00000000-0008-0000-0000-00008F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69" name="TextBox 5268">
          <a:extLst>
            <a:ext uri="{FF2B5EF4-FFF2-40B4-BE49-F238E27FC236}">
              <a16:creationId xmlns:a16="http://schemas.microsoft.com/office/drawing/2014/main" id="{00000000-0008-0000-0000-000090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70" name="TextBox 5269">
          <a:extLst>
            <a:ext uri="{FF2B5EF4-FFF2-40B4-BE49-F238E27FC236}">
              <a16:creationId xmlns:a16="http://schemas.microsoft.com/office/drawing/2014/main" id="{00000000-0008-0000-0000-000091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71" name="TextBox 5270">
          <a:extLst>
            <a:ext uri="{FF2B5EF4-FFF2-40B4-BE49-F238E27FC236}">
              <a16:creationId xmlns:a16="http://schemas.microsoft.com/office/drawing/2014/main" id="{00000000-0008-0000-0000-000092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72" name="TextBox 5271">
          <a:extLst>
            <a:ext uri="{FF2B5EF4-FFF2-40B4-BE49-F238E27FC236}">
              <a16:creationId xmlns:a16="http://schemas.microsoft.com/office/drawing/2014/main" id="{00000000-0008-0000-0000-000093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73" name="TextBox 5272">
          <a:extLst>
            <a:ext uri="{FF2B5EF4-FFF2-40B4-BE49-F238E27FC236}">
              <a16:creationId xmlns:a16="http://schemas.microsoft.com/office/drawing/2014/main" id="{00000000-0008-0000-0000-000094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74" name="TextBox 5273">
          <a:extLst>
            <a:ext uri="{FF2B5EF4-FFF2-40B4-BE49-F238E27FC236}">
              <a16:creationId xmlns:a16="http://schemas.microsoft.com/office/drawing/2014/main" id="{00000000-0008-0000-0000-000095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75" name="TextBox 5274">
          <a:extLst>
            <a:ext uri="{FF2B5EF4-FFF2-40B4-BE49-F238E27FC236}">
              <a16:creationId xmlns:a16="http://schemas.microsoft.com/office/drawing/2014/main" id="{00000000-0008-0000-0000-000096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76" name="TextBox 5275">
          <a:extLst>
            <a:ext uri="{FF2B5EF4-FFF2-40B4-BE49-F238E27FC236}">
              <a16:creationId xmlns:a16="http://schemas.microsoft.com/office/drawing/2014/main" id="{00000000-0008-0000-0000-000097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77" name="TextBox 5276">
          <a:extLst>
            <a:ext uri="{FF2B5EF4-FFF2-40B4-BE49-F238E27FC236}">
              <a16:creationId xmlns:a16="http://schemas.microsoft.com/office/drawing/2014/main" id="{00000000-0008-0000-0000-000098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78" name="TextBox 5277">
          <a:extLst>
            <a:ext uri="{FF2B5EF4-FFF2-40B4-BE49-F238E27FC236}">
              <a16:creationId xmlns:a16="http://schemas.microsoft.com/office/drawing/2014/main" id="{00000000-0008-0000-0000-000099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79" name="TextBox 5278">
          <a:extLst>
            <a:ext uri="{FF2B5EF4-FFF2-40B4-BE49-F238E27FC236}">
              <a16:creationId xmlns:a16="http://schemas.microsoft.com/office/drawing/2014/main" id="{00000000-0008-0000-0000-00009A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80" name="TextBox 5279">
          <a:extLst>
            <a:ext uri="{FF2B5EF4-FFF2-40B4-BE49-F238E27FC236}">
              <a16:creationId xmlns:a16="http://schemas.microsoft.com/office/drawing/2014/main" id="{00000000-0008-0000-0000-00009B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81" name="TextBox 5280">
          <a:extLst>
            <a:ext uri="{FF2B5EF4-FFF2-40B4-BE49-F238E27FC236}">
              <a16:creationId xmlns:a16="http://schemas.microsoft.com/office/drawing/2014/main" id="{00000000-0008-0000-0000-00009C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82" name="TextBox 5281">
          <a:extLst>
            <a:ext uri="{FF2B5EF4-FFF2-40B4-BE49-F238E27FC236}">
              <a16:creationId xmlns:a16="http://schemas.microsoft.com/office/drawing/2014/main" id="{00000000-0008-0000-0000-00009D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83" name="TextBox 5282">
          <a:extLst>
            <a:ext uri="{FF2B5EF4-FFF2-40B4-BE49-F238E27FC236}">
              <a16:creationId xmlns:a16="http://schemas.microsoft.com/office/drawing/2014/main" id="{00000000-0008-0000-0000-00009E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84" name="TextBox 5283">
          <a:extLst>
            <a:ext uri="{FF2B5EF4-FFF2-40B4-BE49-F238E27FC236}">
              <a16:creationId xmlns:a16="http://schemas.microsoft.com/office/drawing/2014/main" id="{00000000-0008-0000-0000-00009F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85" name="TextBox 5284">
          <a:extLst>
            <a:ext uri="{FF2B5EF4-FFF2-40B4-BE49-F238E27FC236}">
              <a16:creationId xmlns:a16="http://schemas.microsoft.com/office/drawing/2014/main" id="{00000000-0008-0000-0000-0000A0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86" name="TextBox 5285">
          <a:extLst>
            <a:ext uri="{FF2B5EF4-FFF2-40B4-BE49-F238E27FC236}">
              <a16:creationId xmlns:a16="http://schemas.microsoft.com/office/drawing/2014/main" id="{00000000-0008-0000-0000-0000A1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87" name="TextBox 5286">
          <a:extLst>
            <a:ext uri="{FF2B5EF4-FFF2-40B4-BE49-F238E27FC236}">
              <a16:creationId xmlns:a16="http://schemas.microsoft.com/office/drawing/2014/main" id="{00000000-0008-0000-0000-0000A2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88" name="TextBox 5287">
          <a:extLst>
            <a:ext uri="{FF2B5EF4-FFF2-40B4-BE49-F238E27FC236}">
              <a16:creationId xmlns:a16="http://schemas.microsoft.com/office/drawing/2014/main" id="{00000000-0008-0000-0000-0000A3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89" name="TextBox 5288">
          <a:extLst>
            <a:ext uri="{FF2B5EF4-FFF2-40B4-BE49-F238E27FC236}">
              <a16:creationId xmlns:a16="http://schemas.microsoft.com/office/drawing/2014/main" id="{00000000-0008-0000-0000-0000A4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90" name="TextBox 5289">
          <a:extLst>
            <a:ext uri="{FF2B5EF4-FFF2-40B4-BE49-F238E27FC236}">
              <a16:creationId xmlns:a16="http://schemas.microsoft.com/office/drawing/2014/main" id="{00000000-0008-0000-0000-0000A5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91" name="TextBox 5290">
          <a:extLst>
            <a:ext uri="{FF2B5EF4-FFF2-40B4-BE49-F238E27FC236}">
              <a16:creationId xmlns:a16="http://schemas.microsoft.com/office/drawing/2014/main" id="{00000000-0008-0000-0000-0000A6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92" name="TextBox 5291">
          <a:extLst>
            <a:ext uri="{FF2B5EF4-FFF2-40B4-BE49-F238E27FC236}">
              <a16:creationId xmlns:a16="http://schemas.microsoft.com/office/drawing/2014/main" id="{00000000-0008-0000-0000-0000A7010000}"/>
            </a:ext>
          </a:extLst>
        </xdr:cNvPr>
        <xdr:cNvSpPr txBox="1"/>
      </xdr:nvSpPr>
      <xdr:spPr>
        <a:xfrm>
          <a:off x="826770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93" name="TextBox 5292">
          <a:extLst>
            <a:ext uri="{FF2B5EF4-FFF2-40B4-BE49-F238E27FC236}">
              <a16:creationId xmlns:a16="http://schemas.microsoft.com/office/drawing/2014/main" id="{00000000-0008-0000-0000-0000A8010000}"/>
            </a:ext>
          </a:extLst>
        </xdr:cNvPr>
        <xdr:cNvSpPr txBox="1"/>
      </xdr:nvSpPr>
      <xdr:spPr>
        <a:xfrm>
          <a:off x="1258062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94" name="TextBox 5293">
          <a:extLst>
            <a:ext uri="{FF2B5EF4-FFF2-40B4-BE49-F238E27FC236}">
              <a16:creationId xmlns:a16="http://schemas.microsoft.com/office/drawing/2014/main" id="{00000000-0008-0000-0000-0000A9010000}"/>
            </a:ext>
          </a:extLst>
        </xdr:cNvPr>
        <xdr:cNvSpPr txBox="1"/>
      </xdr:nvSpPr>
      <xdr:spPr>
        <a:xfrm>
          <a:off x="1258062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95" name="TextBox 5294">
          <a:extLst>
            <a:ext uri="{FF2B5EF4-FFF2-40B4-BE49-F238E27FC236}">
              <a16:creationId xmlns:a16="http://schemas.microsoft.com/office/drawing/2014/main" id="{00000000-0008-0000-0000-0000AA010000}"/>
            </a:ext>
          </a:extLst>
        </xdr:cNvPr>
        <xdr:cNvSpPr txBox="1"/>
      </xdr:nvSpPr>
      <xdr:spPr>
        <a:xfrm>
          <a:off x="1258062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96" name="TextBox 5295">
          <a:extLst>
            <a:ext uri="{FF2B5EF4-FFF2-40B4-BE49-F238E27FC236}">
              <a16:creationId xmlns:a16="http://schemas.microsoft.com/office/drawing/2014/main" id="{00000000-0008-0000-0000-0000AB010000}"/>
            </a:ext>
          </a:extLst>
        </xdr:cNvPr>
        <xdr:cNvSpPr txBox="1"/>
      </xdr:nvSpPr>
      <xdr:spPr>
        <a:xfrm>
          <a:off x="1258062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97" name="TextBox 5296">
          <a:extLst>
            <a:ext uri="{FF2B5EF4-FFF2-40B4-BE49-F238E27FC236}">
              <a16:creationId xmlns:a16="http://schemas.microsoft.com/office/drawing/2014/main" id="{00000000-0008-0000-0000-0000AC010000}"/>
            </a:ext>
          </a:extLst>
        </xdr:cNvPr>
        <xdr:cNvSpPr txBox="1"/>
      </xdr:nvSpPr>
      <xdr:spPr>
        <a:xfrm>
          <a:off x="1258062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98" name="TextBox 5297">
          <a:extLst>
            <a:ext uri="{FF2B5EF4-FFF2-40B4-BE49-F238E27FC236}">
              <a16:creationId xmlns:a16="http://schemas.microsoft.com/office/drawing/2014/main" id="{00000000-0008-0000-0000-0000AD010000}"/>
            </a:ext>
          </a:extLst>
        </xdr:cNvPr>
        <xdr:cNvSpPr txBox="1"/>
      </xdr:nvSpPr>
      <xdr:spPr>
        <a:xfrm>
          <a:off x="1258062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299" name="TextBox 5298">
          <a:extLst>
            <a:ext uri="{FF2B5EF4-FFF2-40B4-BE49-F238E27FC236}">
              <a16:creationId xmlns:a16="http://schemas.microsoft.com/office/drawing/2014/main" id="{00000000-0008-0000-0000-0000AE010000}"/>
            </a:ext>
          </a:extLst>
        </xdr:cNvPr>
        <xdr:cNvSpPr txBox="1"/>
      </xdr:nvSpPr>
      <xdr:spPr>
        <a:xfrm>
          <a:off x="1258062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160</xdr:row>
      <xdr:rowOff>0</xdr:rowOff>
    </xdr:from>
    <xdr:ext cx="65" cy="172227"/>
    <xdr:sp macro="" textlink="">
      <xdr:nvSpPr>
        <xdr:cNvPr id="5300" name="TextBox 5299">
          <a:extLst>
            <a:ext uri="{FF2B5EF4-FFF2-40B4-BE49-F238E27FC236}">
              <a16:creationId xmlns:a16="http://schemas.microsoft.com/office/drawing/2014/main" id="{00000000-0008-0000-0000-0000AF010000}"/>
            </a:ext>
          </a:extLst>
        </xdr:cNvPr>
        <xdr:cNvSpPr txBox="1"/>
      </xdr:nvSpPr>
      <xdr:spPr>
        <a:xfrm>
          <a:off x="12580620" y="3473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01" name="TextBox 5300">
          <a:extLst>
            <a:ext uri="{FF2B5EF4-FFF2-40B4-BE49-F238E27FC236}">
              <a16:creationId xmlns:a16="http://schemas.microsoft.com/office/drawing/2014/main" id="{00000000-0008-0000-0000-0000B001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02" name="TextBox 5301">
          <a:extLst>
            <a:ext uri="{FF2B5EF4-FFF2-40B4-BE49-F238E27FC236}">
              <a16:creationId xmlns:a16="http://schemas.microsoft.com/office/drawing/2014/main" id="{00000000-0008-0000-0000-0000B1010000}"/>
            </a:ext>
          </a:extLst>
        </xdr:cNvPr>
        <xdr:cNvSpPr txBox="1"/>
      </xdr:nvSpPr>
      <xdr:spPr>
        <a:xfrm>
          <a:off x="826770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303" name="TextBox 5302">
          <a:extLst>
            <a:ext uri="{FF2B5EF4-FFF2-40B4-BE49-F238E27FC236}">
              <a16:creationId xmlns:a16="http://schemas.microsoft.com/office/drawing/2014/main" id="{00000000-0008-0000-0000-0000B201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304" name="TextBox 5303">
          <a:extLst>
            <a:ext uri="{FF2B5EF4-FFF2-40B4-BE49-F238E27FC236}">
              <a16:creationId xmlns:a16="http://schemas.microsoft.com/office/drawing/2014/main" id="{00000000-0008-0000-0000-0000B301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305" name="TextBox 5304">
          <a:extLst>
            <a:ext uri="{FF2B5EF4-FFF2-40B4-BE49-F238E27FC236}">
              <a16:creationId xmlns:a16="http://schemas.microsoft.com/office/drawing/2014/main" id="{00000000-0008-0000-0000-0000B401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306" name="TextBox 5305">
          <a:extLst>
            <a:ext uri="{FF2B5EF4-FFF2-40B4-BE49-F238E27FC236}">
              <a16:creationId xmlns:a16="http://schemas.microsoft.com/office/drawing/2014/main" id="{00000000-0008-0000-0000-0000B501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307" name="TextBox 5306">
          <a:extLst>
            <a:ext uri="{FF2B5EF4-FFF2-40B4-BE49-F238E27FC236}">
              <a16:creationId xmlns:a16="http://schemas.microsoft.com/office/drawing/2014/main" id="{00000000-0008-0000-0000-0000B601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308" name="TextBox 5307">
          <a:extLst>
            <a:ext uri="{FF2B5EF4-FFF2-40B4-BE49-F238E27FC236}">
              <a16:creationId xmlns:a16="http://schemas.microsoft.com/office/drawing/2014/main" id="{00000000-0008-0000-0000-0000B701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309" name="TextBox 5308">
          <a:extLst>
            <a:ext uri="{FF2B5EF4-FFF2-40B4-BE49-F238E27FC236}">
              <a16:creationId xmlns:a16="http://schemas.microsoft.com/office/drawing/2014/main" id="{00000000-0008-0000-0000-0000B801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310" name="TextBox 5309">
          <a:extLst>
            <a:ext uri="{FF2B5EF4-FFF2-40B4-BE49-F238E27FC236}">
              <a16:creationId xmlns:a16="http://schemas.microsoft.com/office/drawing/2014/main" id="{00000000-0008-0000-0000-0000B9010000}"/>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11" name="TextBox 5310">
          <a:extLst>
            <a:ext uri="{FF2B5EF4-FFF2-40B4-BE49-F238E27FC236}">
              <a16:creationId xmlns:a16="http://schemas.microsoft.com/office/drawing/2014/main" id="{00000000-0008-0000-0000-0000BA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12" name="TextBox 5311">
          <a:extLst>
            <a:ext uri="{FF2B5EF4-FFF2-40B4-BE49-F238E27FC236}">
              <a16:creationId xmlns:a16="http://schemas.microsoft.com/office/drawing/2014/main" id="{00000000-0008-0000-0000-0000BB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13" name="TextBox 5312">
          <a:extLst>
            <a:ext uri="{FF2B5EF4-FFF2-40B4-BE49-F238E27FC236}">
              <a16:creationId xmlns:a16="http://schemas.microsoft.com/office/drawing/2014/main" id="{00000000-0008-0000-0000-0000BC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14" name="TextBox 5313">
          <a:extLst>
            <a:ext uri="{FF2B5EF4-FFF2-40B4-BE49-F238E27FC236}">
              <a16:creationId xmlns:a16="http://schemas.microsoft.com/office/drawing/2014/main" id="{00000000-0008-0000-0000-0000BD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15" name="TextBox 5314">
          <a:extLst>
            <a:ext uri="{FF2B5EF4-FFF2-40B4-BE49-F238E27FC236}">
              <a16:creationId xmlns:a16="http://schemas.microsoft.com/office/drawing/2014/main" id="{00000000-0008-0000-0000-0000B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16" name="TextBox 5315">
          <a:extLst>
            <a:ext uri="{FF2B5EF4-FFF2-40B4-BE49-F238E27FC236}">
              <a16:creationId xmlns:a16="http://schemas.microsoft.com/office/drawing/2014/main" id="{00000000-0008-0000-0000-0000B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17" name="TextBox 5316">
          <a:extLst>
            <a:ext uri="{FF2B5EF4-FFF2-40B4-BE49-F238E27FC236}">
              <a16:creationId xmlns:a16="http://schemas.microsoft.com/office/drawing/2014/main" id="{00000000-0008-0000-0000-0000C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18" name="TextBox 5317">
          <a:extLst>
            <a:ext uri="{FF2B5EF4-FFF2-40B4-BE49-F238E27FC236}">
              <a16:creationId xmlns:a16="http://schemas.microsoft.com/office/drawing/2014/main" id="{00000000-0008-0000-0000-0000C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19" name="TextBox 5318">
          <a:extLst>
            <a:ext uri="{FF2B5EF4-FFF2-40B4-BE49-F238E27FC236}">
              <a16:creationId xmlns:a16="http://schemas.microsoft.com/office/drawing/2014/main" id="{00000000-0008-0000-0000-0000C2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20" name="TextBox 5319">
          <a:extLst>
            <a:ext uri="{FF2B5EF4-FFF2-40B4-BE49-F238E27FC236}">
              <a16:creationId xmlns:a16="http://schemas.microsoft.com/office/drawing/2014/main" id="{00000000-0008-0000-0000-0000C3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21" name="TextBox 5320">
          <a:extLst>
            <a:ext uri="{FF2B5EF4-FFF2-40B4-BE49-F238E27FC236}">
              <a16:creationId xmlns:a16="http://schemas.microsoft.com/office/drawing/2014/main" id="{00000000-0008-0000-0000-0000C4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22" name="TextBox 5321">
          <a:extLst>
            <a:ext uri="{FF2B5EF4-FFF2-40B4-BE49-F238E27FC236}">
              <a16:creationId xmlns:a16="http://schemas.microsoft.com/office/drawing/2014/main" id="{00000000-0008-0000-0000-0000C5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23" name="TextBox 5322">
          <a:extLst>
            <a:ext uri="{FF2B5EF4-FFF2-40B4-BE49-F238E27FC236}">
              <a16:creationId xmlns:a16="http://schemas.microsoft.com/office/drawing/2014/main" id="{00000000-0008-0000-0000-0000C6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24" name="TextBox 5323">
          <a:extLst>
            <a:ext uri="{FF2B5EF4-FFF2-40B4-BE49-F238E27FC236}">
              <a16:creationId xmlns:a16="http://schemas.microsoft.com/office/drawing/2014/main" id="{00000000-0008-0000-0000-0000C7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25" name="TextBox 5324">
          <a:extLst>
            <a:ext uri="{FF2B5EF4-FFF2-40B4-BE49-F238E27FC236}">
              <a16:creationId xmlns:a16="http://schemas.microsoft.com/office/drawing/2014/main" id="{00000000-0008-0000-0000-0000C8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26" name="TextBox 5325">
          <a:extLst>
            <a:ext uri="{FF2B5EF4-FFF2-40B4-BE49-F238E27FC236}">
              <a16:creationId xmlns:a16="http://schemas.microsoft.com/office/drawing/2014/main" id="{00000000-0008-0000-0000-0000C9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27" name="TextBox 5326">
          <a:extLst>
            <a:ext uri="{FF2B5EF4-FFF2-40B4-BE49-F238E27FC236}">
              <a16:creationId xmlns:a16="http://schemas.microsoft.com/office/drawing/2014/main" id="{00000000-0008-0000-0000-0000CA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28" name="TextBox 5327">
          <a:extLst>
            <a:ext uri="{FF2B5EF4-FFF2-40B4-BE49-F238E27FC236}">
              <a16:creationId xmlns:a16="http://schemas.microsoft.com/office/drawing/2014/main" id="{00000000-0008-0000-0000-0000CB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29" name="TextBox 5328">
          <a:extLst>
            <a:ext uri="{FF2B5EF4-FFF2-40B4-BE49-F238E27FC236}">
              <a16:creationId xmlns:a16="http://schemas.microsoft.com/office/drawing/2014/main" id="{00000000-0008-0000-0000-0000CC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30" name="TextBox 5329">
          <a:extLst>
            <a:ext uri="{FF2B5EF4-FFF2-40B4-BE49-F238E27FC236}">
              <a16:creationId xmlns:a16="http://schemas.microsoft.com/office/drawing/2014/main" id="{00000000-0008-0000-0000-0000CD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31" name="TextBox 5330">
          <a:extLst>
            <a:ext uri="{FF2B5EF4-FFF2-40B4-BE49-F238E27FC236}">
              <a16:creationId xmlns:a16="http://schemas.microsoft.com/office/drawing/2014/main" id="{00000000-0008-0000-0000-0000C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32" name="TextBox 5331">
          <a:extLst>
            <a:ext uri="{FF2B5EF4-FFF2-40B4-BE49-F238E27FC236}">
              <a16:creationId xmlns:a16="http://schemas.microsoft.com/office/drawing/2014/main" id="{00000000-0008-0000-0000-0000C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33" name="TextBox 5332">
          <a:extLst>
            <a:ext uri="{FF2B5EF4-FFF2-40B4-BE49-F238E27FC236}">
              <a16:creationId xmlns:a16="http://schemas.microsoft.com/office/drawing/2014/main" id="{00000000-0008-0000-0000-0000D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34" name="TextBox 5333">
          <a:extLst>
            <a:ext uri="{FF2B5EF4-FFF2-40B4-BE49-F238E27FC236}">
              <a16:creationId xmlns:a16="http://schemas.microsoft.com/office/drawing/2014/main" id="{00000000-0008-0000-0000-0000D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35" name="TextBox 5334">
          <a:extLst>
            <a:ext uri="{FF2B5EF4-FFF2-40B4-BE49-F238E27FC236}">
              <a16:creationId xmlns:a16="http://schemas.microsoft.com/office/drawing/2014/main" id="{00000000-0008-0000-0000-0000D2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36" name="TextBox 5335">
          <a:extLst>
            <a:ext uri="{FF2B5EF4-FFF2-40B4-BE49-F238E27FC236}">
              <a16:creationId xmlns:a16="http://schemas.microsoft.com/office/drawing/2014/main" id="{00000000-0008-0000-0000-0000D3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37" name="TextBox 5336">
          <a:extLst>
            <a:ext uri="{FF2B5EF4-FFF2-40B4-BE49-F238E27FC236}">
              <a16:creationId xmlns:a16="http://schemas.microsoft.com/office/drawing/2014/main" id="{00000000-0008-0000-0000-0000D4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38" name="TextBox 5337">
          <a:extLst>
            <a:ext uri="{FF2B5EF4-FFF2-40B4-BE49-F238E27FC236}">
              <a16:creationId xmlns:a16="http://schemas.microsoft.com/office/drawing/2014/main" id="{00000000-0008-0000-0000-0000D5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39" name="TextBox 5338">
          <a:extLst>
            <a:ext uri="{FF2B5EF4-FFF2-40B4-BE49-F238E27FC236}">
              <a16:creationId xmlns:a16="http://schemas.microsoft.com/office/drawing/2014/main" id="{00000000-0008-0000-0000-0000D6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40" name="TextBox 5339">
          <a:extLst>
            <a:ext uri="{FF2B5EF4-FFF2-40B4-BE49-F238E27FC236}">
              <a16:creationId xmlns:a16="http://schemas.microsoft.com/office/drawing/2014/main" id="{00000000-0008-0000-0000-0000D7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41" name="TextBox 5340">
          <a:extLst>
            <a:ext uri="{FF2B5EF4-FFF2-40B4-BE49-F238E27FC236}">
              <a16:creationId xmlns:a16="http://schemas.microsoft.com/office/drawing/2014/main" id="{00000000-0008-0000-0000-0000D8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42" name="TextBox 5341">
          <a:extLst>
            <a:ext uri="{FF2B5EF4-FFF2-40B4-BE49-F238E27FC236}">
              <a16:creationId xmlns:a16="http://schemas.microsoft.com/office/drawing/2014/main" id="{00000000-0008-0000-0000-0000D9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43" name="TextBox 5342">
          <a:extLst>
            <a:ext uri="{FF2B5EF4-FFF2-40B4-BE49-F238E27FC236}">
              <a16:creationId xmlns:a16="http://schemas.microsoft.com/office/drawing/2014/main" id="{00000000-0008-0000-0000-0000DA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44" name="TextBox 5343">
          <a:extLst>
            <a:ext uri="{FF2B5EF4-FFF2-40B4-BE49-F238E27FC236}">
              <a16:creationId xmlns:a16="http://schemas.microsoft.com/office/drawing/2014/main" id="{00000000-0008-0000-0000-0000DB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45" name="TextBox 5344">
          <a:extLst>
            <a:ext uri="{FF2B5EF4-FFF2-40B4-BE49-F238E27FC236}">
              <a16:creationId xmlns:a16="http://schemas.microsoft.com/office/drawing/2014/main" id="{00000000-0008-0000-0000-0000DC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46" name="TextBox 5345">
          <a:extLst>
            <a:ext uri="{FF2B5EF4-FFF2-40B4-BE49-F238E27FC236}">
              <a16:creationId xmlns:a16="http://schemas.microsoft.com/office/drawing/2014/main" id="{00000000-0008-0000-0000-0000DD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47" name="TextBox 5346">
          <a:extLst>
            <a:ext uri="{FF2B5EF4-FFF2-40B4-BE49-F238E27FC236}">
              <a16:creationId xmlns:a16="http://schemas.microsoft.com/office/drawing/2014/main" id="{00000000-0008-0000-0000-0000D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48" name="TextBox 5347">
          <a:extLst>
            <a:ext uri="{FF2B5EF4-FFF2-40B4-BE49-F238E27FC236}">
              <a16:creationId xmlns:a16="http://schemas.microsoft.com/office/drawing/2014/main" id="{00000000-0008-0000-0000-0000D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49" name="TextBox 5348">
          <a:extLst>
            <a:ext uri="{FF2B5EF4-FFF2-40B4-BE49-F238E27FC236}">
              <a16:creationId xmlns:a16="http://schemas.microsoft.com/office/drawing/2014/main" id="{00000000-0008-0000-0000-0000E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50" name="TextBox 5349">
          <a:extLst>
            <a:ext uri="{FF2B5EF4-FFF2-40B4-BE49-F238E27FC236}">
              <a16:creationId xmlns:a16="http://schemas.microsoft.com/office/drawing/2014/main" id="{00000000-0008-0000-0000-0000E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51" name="TextBox 5350">
          <a:extLst>
            <a:ext uri="{FF2B5EF4-FFF2-40B4-BE49-F238E27FC236}">
              <a16:creationId xmlns:a16="http://schemas.microsoft.com/office/drawing/2014/main" id="{00000000-0008-0000-0000-0000E2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52" name="TextBox 5351">
          <a:extLst>
            <a:ext uri="{FF2B5EF4-FFF2-40B4-BE49-F238E27FC236}">
              <a16:creationId xmlns:a16="http://schemas.microsoft.com/office/drawing/2014/main" id="{00000000-0008-0000-0000-0000E3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53" name="TextBox 5352">
          <a:extLst>
            <a:ext uri="{FF2B5EF4-FFF2-40B4-BE49-F238E27FC236}">
              <a16:creationId xmlns:a16="http://schemas.microsoft.com/office/drawing/2014/main" id="{00000000-0008-0000-0000-0000E4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54" name="TextBox 5353">
          <a:extLst>
            <a:ext uri="{FF2B5EF4-FFF2-40B4-BE49-F238E27FC236}">
              <a16:creationId xmlns:a16="http://schemas.microsoft.com/office/drawing/2014/main" id="{00000000-0008-0000-0000-0000E5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55" name="TextBox 5354">
          <a:extLst>
            <a:ext uri="{FF2B5EF4-FFF2-40B4-BE49-F238E27FC236}">
              <a16:creationId xmlns:a16="http://schemas.microsoft.com/office/drawing/2014/main" id="{00000000-0008-0000-0000-0000E6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56" name="TextBox 5355">
          <a:extLst>
            <a:ext uri="{FF2B5EF4-FFF2-40B4-BE49-F238E27FC236}">
              <a16:creationId xmlns:a16="http://schemas.microsoft.com/office/drawing/2014/main" id="{00000000-0008-0000-0000-0000E7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57" name="TextBox 5356">
          <a:extLst>
            <a:ext uri="{FF2B5EF4-FFF2-40B4-BE49-F238E27FC236}">
              <a16:creationId xmlns:a16="http://schemas.microsoft.com/office/drawing/2014/main" id="{00000000-0008-0000-0000-0000E8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58" name="TextBox 5357">
          <a:extLst>
            <a:ext uri="{FF2B5EF4-FFF2-40B4-BE49-F238E27FC236}">
              <a16:creationId xmlns:a16="http://schemas.microsoft.com/office/drawing/2014/main" id="{00000000-0008-0000-0000-0000E9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59" name="TextBox 5358">
          <a:extLst>
            <a:ext uri="{FF2B5EF4-FFF2-40B4-BE49-F238E27FC236}">
              <a16:creationId xmlns:a16="http://schemas.microsoft.com/office/drawing/2014/main" id="{00000000-0008-0000-0000-0000EA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60" name="TextBox 5359">
          <a:extLst>
            <a:ext uri="{FF2B5EF4-FFF2-40B4-BE49-F238E27FC236}">
              <a16:creationId xmlns:a16="http://schemas.microsoft.com/office/drawing/2014/main" id="{00000000-0008-0000-0000-0000EB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61" name="TextBox 5360">
          <a:extLst>
            <a:ext uri="{FF2B5EF4-FFF2-40B4-BE49-F238E27FC236}">
              <a16:creationId xmlns:a16="http://schemas.microsoft.com/office/drawing/2014/main" id="{00000000-0008-0000-0000-0000EC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62" name="TextBox 5361">
          <a:extLst>
            <a:ext uri="{FF2B5EF4-FFF2-40B4-BE49-F238E27FC236}">
              <a16:creationId xmlns:a16="http://schemas.microsoft.com/office/drawing/2014/main" id="{00000000-0008-0000-0000-0000ED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63" name="TextBox 5362">
          <a:extLst>
            <a:ext uri="{FF2B5EF4-FFF2-40B4-BE49-F238E27FC236}">
              <a16:creationId xmlns:a16="http://schemas.microsoft.com/office/drawing/2014/main" id="{00000000-0008-0000-0000-0000EE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64" name="TextBox 5363">
          <a:extLst>
            <a:ext uri="{FF2B5EF4-FFF2-40B4-BE49-F238E27FC236}">
              <a16:creationId xmlns:a16="http://schemas.microsoft.com/office/drawing/2014/main" id="{00000000-0008-0000-0000-0000EF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65" name="TextBox 5364">
          <a:extLst>
            <a:ext uri="{FF2B5EF4-FFF2-40B4-BE49-F238E27FC236}">
              <a16:creationId xmlns:a16="http://schemas.microsoft.com/office/drawing/2014/main" id="{00000000-0008-0000-0000-0000F0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66" name="TextBox 5365">
          <a:extLst>
            <a:ext uri="{FF2B5EF4-FFF2-40B4-BE49-F238E27FC236}">
              <a16:creationId xmlns:a16="http://schemas.microsoft.com/office/drawing/2014/main" id="{00000000-0008-0000-0000-0000F1010000}"/>
            </a:ext>
          </a:extLst>
        </xdr:cNvPr>
        <xdr:cNvSpPr txBox="1"/>
      </xdr:nvSpPr>
      <xdr:spPr>
        <a:xfrm>
          <a:off x="826770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67" name="TextBox 5366">
          <a:extLst>
            <a:ext uri="{FF2B5EF4-FFF2-40B4-BE49-F238E27FC236}">
              <a16:creationId xmlns:a16="http://schemas.microsoft.com/office/drawing/2014/main" id="{00000000-0008-0000-0000-0000F2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68" name="TextBox 5367">
          <a:extLst>
            <a:ext uri="{FF2B5EF4-FFF2-40B4-BE49-F238E27FC236}">
              <a16:creationId xmlns:a16="http://schemas.microsoft.com/office/drawing/2014/main" id="{00000000-0008-0000-0000-0000F3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69" name="TextBox 5368">
          <a:extLst>
            <a:ext uri="{FF2B5EF4-FFF2-40B4-BE49-F238E27FC236}">
              <a16:creationId xmlns:a16="http://schemas.microsoft.com/office/drawing/2014/main" id="{00000000-0008-0000-0000-0000F4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70" name="TextBox 5369">
          <a:extLst>
            <a:ext uri="{FF2B5EF4-FFF2-40B4-BE49-F238E27FC236}">
              <a16:creationId xmlns:a16="http://schemas.microsoft.com/office/drawing/2014/main" id="{00000000-0008-0000-0000-0000F5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71" name="TextBox 5370">
          <a:extLst>
            <a:ext uri="{FF2B5EF4-FFF2-40B4-BE49-F238E27FC236}">
              <a16:creationId xmlns:a16="http://schemas.microsoft.com/office/drawing/2014/main" id="{00000000-0008-0000-0000-0000F6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72" name="TextBox 5371">
          <a:extLst>
            <a:ext uri="{FF2B5EF4-FFF2-40B4-BE49-F238E27FC236}">
              <a16:creationId xmlns:a16="http://schemas.microsoft.com/office/drawing/2014/main" id="{00000000-0008-0000-0000-0000F7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73" name="TextBox 5372">
          <a:extLst>
            <a:ext uri="{FF2B5EF4-FFF2-40B4-BE49-F238E27FC236}">
              <a16:creationId xmlns:a16="http://schemas.microsoft.com/office/drawing/2014/main" id="{00000000-0008-0000-0000-0000F8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159</xdr:row>
      <xdr:rowOff>0</xdr:rowOff>
    </xdr:from>
    <xdr:ext cx="65" cy="172227"/>
    <xdr:sp macro="" textlink="">
      <xdr:nvSpPr>
        <xdr:cNvPr id="5374" name="TextBox 5373">
          <a:extLst>
            <a:ext uri="{FF2B5EF4-FFF2-40B4-BE49-F238E27FC236}">
              <a16:creationId xmlns:a16="http://schemas.microsoft.com/office/drawing/2014/main" id="{00000000-0008-0000-0000-0000F9010000}"/>
            </a:ext>
          </a:extLst>
        </xdr:cNvPr>
        <xdr:cNvSpPr txBox="1"/>
      </xdr:nvSpPr>
      <xdr:spPr>
        <a:xfrm>
          <a:off x="12580620" y="3454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75" name="TextBox 5374">
          <a:extLst>
            <a:ext uri="{FF2B5EF4-FFF2-40B4-BE49-F238E27FC236}">
              <a16:creationId xmlns:a16="http://schemas.microsoft.com/office/drawing/2014/main" id="{D790F7C5-4FB4-4169-AECB-29A162C3B4E0}"/>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76" name="TextBox 5375">
          <a:extLst>
            <a:ext uri="{FF2B5EF4-FFF2-40B4-BE49-F238E27FC236}">
              <a16:creationId xmlns:a16="http://schemas.microsoft.com/office/drawing/2014/main" id="{4B3266CB-1924-4B0B-A63A-F668BBA86148}"/>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77" name="TextBox 5376">
          <a:extLst>
            <a:ext uri="{FF2B5EF4-FFF2-40B4-BE49-F238E27FC236}">
              <a16:creationId xmlns:a16="http://schemas.microsoft.com/office/drawing/2014/main" id="{CBC7410D-7C3A-41C0-B6C7-F75F0212AE33}"/>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78" name="TextBox 5377">
          <a:extLst>
            <a:ext uri="{FF2B5EF4-FFF2-40B4-BE49-F238E27FC236}">
              <a16:creationId xmlns:a16="http://schemas.microsoft.com/office/drawing/2014/main" id="{50BBF757-870F-4C5F-8A6D-BB01D20FB785}"/>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79" name="TextBox 5378">
          <a:extLst>
            <a:ext uri="{FF2B5EF4-FFF2-40B4-BE49-F238E27FC236}">
              <a16:creationId xmlns:a16="http://schemas.microsoft.com/office/drawing/2014/main" id="{924A6A0B-67A0-4D39-98DD-B4890EA7059F}"/>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80" name="TextBox 5379">
          <a:extLst>
            <a:ext uri="{FF2B5EF4-FFF2-40B4-BE49-F238E27FC236}">
              <a16:creationId xmlns:a16="http://schemas.microsoft.com/office/drawing/2014/main" id="{418D698A-7CAD-4873-9383-980E4B117409}"/>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81" name="TextBox 5380">
          <a:extLst>
            <a:ext uri="{FF2B5EF4-FFF2-40B4-BE49-F238E27FC236}">
              <a16:creationId xmlns:a16="http://schemas.microsoft.com/office/drawing/2014/main" id="{D4576B78-2AC7-4FA0-B5A6-410991F126C0}"/>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82" name="TextBox 5381">
          <a:extLst>
            <a:ext uri="{FF2B5EF4-FFF2-40B4-BE49-F238E27FC236}">
              <a16:creationId xmlns:a16="http://schemas.microsoft.com/office/drawing/2014/main" id="{3F70C200-9F35-47B9-A6A0-8BD020BFA9F5}"/>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83" name="TextBox 5382">
          <a:extLst>
            <a:ext uri="{FF2B5EF4-FFF2-40B4-BE49-F238E27FC236}">
              <a16:creationId xmlns:a16="http://schemas.microsoft.com/office/drawing/2014/main" id="{B21B1052-165D-406E-ACA9-FA2B1238ADAA}"/>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84" name="TextBox 5383">
          <a:extLst>
            <a:ext uri="{FF2B5EF4-FFF2-40B4-BE49-F238E27FC236}">
              <a16:creationId xmlns:a16="http://schemas.microsoft.com/office/drawing/2014/main" id="{65417AB6-2889-49DD-9AEF-7149F5D9B7B2}"/>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85" name="TextBox 5384">
          <a:extLst>
            <a:ext uri="{FF2B5EF4-FFF2-40B4-BE49-F238E27FC236}">
              <a16:creationId xmlns:a16="http://schemas.microsoft.com/office/drawing/2014/main" id="{7BF692BA-8340-4141-BC82-F9CF78D79873}"/>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86" name="TextBox 5385">
          <a:extLst>
            <a:ext uri="{FF2B5EF4-FFF2-40B4-BE49-F238E27FC236}">
              <a16:creationId xmlns:a16="http://schemas.microsoft.com/office/drawing/2014/main" id="{79127C80-C540-411B-B139-200EBBA5DA66}"/>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87" name="TextBox 5386">
          <a:extLst>
            <a:ext uri="{FF2B5EF4-FFF2-40B4-BE49-F238E27FC236}">
              <a16:creationId xmlns:a16="http://schemas.microsoft.com/office/drawing/2014/main" id="{B67D3F3D-F87A-4ACF-91FC-9A53D5A2D4D3}"/>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154</xdr:row>
      <xdr:rowOff>0</xdr:rowOff>
    </xdr:from>
    <xdr:ext cx="65" cy="172227"/>
    <xdr:sp macro="" textlink="">
      <xdr:nvSpPr>
        <xdr:cNvPr id="5388" name="TextBox 5387">
          <a:extLst>
            <a:ext uri="{FF2B5EF4-FFF2-40B4-BE49-F238E27FC236}">
              <a16:creationId xmlns:a16="http://schemas.microsoft.com/office/drawing/2014/main" id="{58EC8DC8-71FC-42BE-93DA-79FE716E2108}"/>
            </a:ext>
          </a:extLst>
        </xdr:cNvPr>
        <xdr:cNvSpPr txBox="1"/>
      </xdr:nvSpPr>
      <xdr:spPr>
        <a:xfrm>
          <a:off x="12580620" y="33550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389" name="TextBox 5388">
          <a:extLst>
            <a:ext uri="{FF2B5EF4-FFF2-40B4-BE49-F238E27FC236}">
              <a16:creationId xmlns:a16="http://schemas.microsoft.com/office/drawing/2014/main" id="{7B7B12E6-3D6A-411C-8750-B2D904ED71B9}"/>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390" name="TextBox 5389">
          <a:extLst>
            <a:ext uri="{FF2B5EF4-FFF2-40B4-BE49-F238E27FC236}">
              <a16:creationId xmlns:a16="http://schemas.microsoft.com/office/drawing/2014/main" id="{F482887C-F492-4307-823C-4E10D7821CC6}"/>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391" name="TextBox 5390">
          <a:extLst>
            <a:ext uri="{FF2B5EF4-FFF2-40B4-BE49-F238E27FC236}">
              <a16:creationId xmlns:a16="http://schemas.microsoft.com/office/drawing/2014/main" id="{0949CA64-0CC0-4B53-A59D-24AD43506153}"/>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392" name="TextBox 5391">
          <a:extLst>
            <a:ext uri="{FF2B5EF4-FFF2-40B4-BE49-F238E27FC236}">
              <a16:creationId xmlns:a16="http://schemas.microsoft.com/office/drawing/2014/main" id="{AF47DE7E-DEEE-4D8F-BEA0-B678FC4108A0}"/>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393" name="TextBox 5392">
          <a:extLst>
            <a:ext uri="{FF2B5EF4-FFF2-40B4-BE49-F238E27FC236}">
              <a16:creationId xmlns:a16="http://schemas.microsoft.com/office/drawing/2014/main" id="{50B7B56B-3E53-478E-BD2A-1CB44BB0EE30}"/>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394" name="TextBox 5393">
          <a:extLst>
            <a:ext uri="{FF2B5EF4-FFF2-40B4-BE49-F238E27FC236}">
              <a16:creationId xmlns:a16="http://schemas.microsoft.com/office/drawing/2014/main" id="{9A76D97E-F211-4995-A860-8787CD5178FF}"/>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395" name="TextBox 5394">
          <a:extLst>
            <a:ext uri="{FF2B5EF4-FFF2-40B4-BE49-F238E27FC236}">
              <a16:creationId xmlns:a16="http://schemas.microsoft.com/office/drawing/2014/main" id="{9FC70A70-D526-4203-8E11-372D840B6103}"/>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396" name="TextBox 5395">
          <a:extLst>
            <a:ext uri="{FF2B5EF4-FFF2-40B4-BE49-F238E27FC236}">
              <a16:creationId xmlns:a16="http://schemas.microsoft.com/office/drawing/2014/main" id="{4F6B1A49-C9DC-473C-8ECD-E788E907B701}"/>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397" name="TextBox 5396">
          <a:extLst>
            <a:ext uri="{FF2B5EF4-FFF2-40B4-BE49-F238E27FC236}">
              <a16:creationId xmlns:a16="http://schemas.microsoft.com/office/drawing/2014/main" id="{7249EAE9-2088-4834-9241-A764E60A6F18}"/>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398" name="TextBox 5397">
          <a:extLst>
            <a:ext uri="{FF2B5EF4-FFF2-40B4-BE49-F238E27FC236}">
              <a16:creationId xmlns:a16="http://schemas.microsoft.com/office/drawing/2014/main" id="{CEEDDCB2-23A2-47B2-AA3F-37312ED4C714}"/>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399" name="TextBox 5398">
          <a:extLst>
            <a:ext uri="{FF2B5EF4-FFF2-40B4-BE49-F238E27FC236}">
              <a16:creationId xmlns:a16="http://schemas.microsoft.com/office/drawing/2014/main" id="{C53CCEBA-D398-4C3C-8E47-107C27B759C1}"/>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400" name="TextBox 5399">
          <a:extLst>
            <a:ext uri="{FF2B5EF4-FFF2-40B4-BE49-F238E27FC236}">
              <a16:creationId xmlns:a16="http://schemas.microsoft.com/office/drawing/2014/main" id="{C8C855ED-970E-43B8-A5B1-6F6ADBB998A9}"/>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401" name="TextBox 5400">
          <a:extLst>
            <a:ext uri="{FF2B5EF4-FFF2-40B4-BE49-F238E27FC236}">
              <a16:creationId xmlns:a16="http://schemas.microsoft.com/office/drawing/2014/main" id="{E705C099-0DDB-4CBB-91AA-6BD578E38D4C}"/>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155</xdr:row>
      <xdr:rowOff>0</xdr:rowOff>
    </xdr:from>
    <xdr:ext cx="65" cy="172227"/>
    <xdr:sp macro="" textlink="">
      <xdr:nvSpPr>
        <xdr:cNvPr id="5402" name="TextBox 5401">
          <a:extLst>
            <a:ext uri="{FF2B5EF4-FFF2-40B4-BE49-F238E27FC236}">
              <a16:creationId xmlns:a16="http://schemas.microsoft.com/office/drawing/2014/main" id="{ADA9DEB9-F0D8-4AB1-B42C-8371D735EDB0}"/>
            </a:ext>
          </a:extLst>
        </xdr:cNvPr>
        <xdr:cNvSpPr txBox="1"/>
      </xdr:nvSpPr>
      <xdr:spPr>
        <a:xfrm>
          <a:off x="12580620" y="33748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03" name="TextBox 5402">
          <a:extLst>
            <a:ext uri="{FF2B5EF4-FFF2-40B4-BE49-F238E27FC236}">
              <a16:creationId xmlns:a16="http://schemas.microsoft.com/office/drawing/2014/main" id="{709CBE26-A551-4C7C-A384-D56B48045E68}"/>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04" name="TextBox 5403">
          <a:extLst>
            <a:ext uri="{FF2B5EF4-FFF2-40B4-BE49-F238E27FC236}">
              <a16:creationId xmlns:a16="http://schemas.microsoft.com/office/drawing/2014/main" id="{FCF004D5-83CC-4601-BE3C-2D350D291279}"/>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05" name="TextBox 5404">
          <a:extLst>
            <a:ext uri="{FF2B5EF4-FFF2-40B4-BE49-F238E27FC236}">
              <a16:creationId xmlns:a16="http://schemas.microsoft.com/office/drawing/2014/main" id="{27CE9EF6-2DFA-4778-9205-D83560524403}"/>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06" name="TextBox 5405">
          <a:extLst>
            <a:ext uri="{FF2B5EF4-FFF2-40B4-BE49-F238E27FC236}">
              <a16:creationId xmlns:a16="http://schemas.microsoft.com/office/drawing/2014/main" id="{AEF2C205-301C-4560-BC83-375E974BCEAF}"/>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07" name="TextBox 5406">
          <a:extLst>
            <a:ext uri="{FF2B5EF4-FFF2-40B4-BE49-F238E27FC236}">
              <a16:creationId xmlns:a16="http://schemas.microsoft.com/office/drawing/2014/main" id="{3DCCF9ED-9B1F-4DC7-B839-6E3EB677417B}"/>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08" name="TextBox 5407">
          <a:extLst>
            <a:ext uri="{FF2B5EF4-FFF2-40B4-BE49-F238E27FC236}">
              <a16:creationId xmlns:a16="http://schemas.microsoft.com/office/drawing/2014/main" id="{3D9466B2-EB98-463C-88EA-A326C523B5D8}"/>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09" name="TextBox 5408">
          <a:extLst>
            <a:ext uri="{FF2B5EF4-FFF2-40B4-BE49-F238E27FC236}">
              <a16:creationId xmlns:a16="http://schemas.microsoft.com/office/drawing/2014/main" id="{0F2E4FBC-6F9D-49D8-B320-D21C3287204C}"/>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10" name="TextBox 5409">
          <a:extLst>
            <a:ext uri="{FF2B5EF4-FFF2-40B4-BE49-F238E27FC236}">
              <a16:creationId xmlns:a16="http://schemas.microsoft.com/office/drawing/2014/main" id="{9EE8A67A-FC51-41CC-B6A6-507074A0155B}"/>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11" name="TextBox 5410">
          <a:extLst>
            <a:ext uri="{FF2B5EF4-FFF2-40B4-BE49-F238E27FC236}">
              <a16:creationId xmlns:a16="http://schemas.microsoft.com/office/drawing/2014/main" id="{E3EE1ED8-1246-4E13-86A2-D686D3F3CFAC}"/>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12" name="TextBox 5411">
          <a:extLst>
            <a:ext uri="{FF2B5EF4-FFF2-40B4-BE49-F238E27FC236}">
              <a16:creationId xmlns:a16="http://schemas.microsoft.com/office/drawing/2014/main" id="{112F0F0B-ABFD-4DDD-BCB9-10FEAFDB5AD9}"/>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13" name="TextBox 5412">
          <a:extLst>
            <a:ext uri="{FF2B5EF4-FFF2-40B4-BE49-F238E27FC236}">
              <a16:creationId xmlns:a16="http://schemas.microsoft.com/office/drawing/2014/main" id="{12EDF718-BDAC-48A4-BBFB-24DCD5C1D4FC}"/>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14" name="TextBox 5413">
          <a:extLst>
            <a:ext uri="{FF2B5EF4-FFF2-40B4-BE49-F238E27FC236}">
              <a16:creationId xmlns:a16="http://schemas.microsoft.com/office/drawing/2014/main" id="{B3B85458-8D8F-4F12-B7C0-DC92B39A1F35}"/>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15" name="TextBox 5414">
          <a:extLst>
            <a:ext uri="{FF2B5EF4-FFF2-40B4-BE49-F238E27FC236}">
              <a16:creationId xmlns:a16="http://schemas.microsoft.com/office/drawing/2014/main" id="{BF066412-0AC2-4C2B-9E92-DFE86D6A185E}"/>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156</xdr:row>
      <xdr:rowOff>0</xdr:rowOff>
    </xdr:from>
    <xdr:ext cx="65" cy="172227"/>
    <xdr:sp macro="" textlink="">
      <xdr:nvSpPr>
        <xdr:cNvPr id="5416" name="TextBox 5415">
          <a:extLst>
            <a:ext uri="{FF2B5EF4-FFF2-40B4-BE49-F238E27FC236}">
              <a16:creationId xmlns:a16="http://schemas.microsoft.com/office/drawing/2014/main" id="{F84E80ED-F217-41BA-9FA6-C1DBC25F3A17}"/>
            </a:ext>
          </a:extLst>
        </xdr:cNvPr>
        <xdr:cNvSpPr txBox="1"/>
      </xdr:nvSpPr>
      <xdr:spPr>
        <a:xfrm>
          <a:off x="12580620" y="3394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twoCellAnchor>
    <xdr:from>
      <xdr:col>0</xdr:col>
      <xdr:colOff>0</xdr:colOff>
      <xdr:row>69</xdr:row>
      <xdr:rowOff>95250</xdr:rowOff>
    </xdr:from>
    <xdr:to>
      <xdr:col>2</xdr:col>
      <xdr:colOff>561975</xdr:colOff>
      <xdr:row>83</xdr:row>
      <xdr:rowOff>171450</xdr:rowOff>
    </xdr:to>
    <xdr:graphicFrame macro="">
      <xdr:nvGraphicFramePr>
        <xdr:cNvPr id="5418" name="Chart 5417">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164</xdr:row>
      <xdr:rowOff>0</xdr:rowOff>
    </xdr:from>
    <xdr:ext cx="65" cy="172227"/>
    <xdr:sp macro="" textlink="">
      <xdr:nvSpPr>
        <xdr:cNvPr id="5419" name="TextBox 5418">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164</xdr:row>
      <xdr:rowOff>0</xdr:rowOff>
    </xdr:from>
    <xdr:ext cx="65" cy="172227"/>
    <xdr:sp macro="" textlink="">
      <xdr:nvSpPr>
        <xdr:cNvPr id="5423" name="TextBox 5422">
          <a:extLst>
            <a:ext uri="{FF2B5EF4-FFF2-40B4-BE49-F238E27FC236}">
              <a16:creationId xmlns:a16="http://schemas.microsoft.com/office/drawing/2014/main" id="{00000000-0008-0000-0000-00000B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424" name="TextBox 5423">
          <a:extLst>
            <a:ext uri="{FF2B5EF4-FFF2-40B4-BE49-F238E27FC236}">
              <a16:creationId xmlns:a16="http://schemas.microsoft.com/office/drawing/2014/main" id="{00000000-0008-0000-0000-00000C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425" name="TextBox 5424">
          <a:extLst>
            <a:ext uri="{FF2B5EF4-FFF2-40B4-BE49-F238E27FC236}">
              <a16:creationId xmlns:a16="http://schemas.microsoft.com/office/drawing/2014/main" id="{00000000-0008-0000-0000-00000D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426" name="TextBox 5425">
          <a:extLst>
            <a:ext uri="{FF2B5EF4-FFF2-40B4-BE49-F238E27FC236}">
              <a16:creationId xmlns:a16="http://schemas.microsoft.com/office/drawing/2014/main" id="{00000000-0008-0000-0000-00000E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427" name="TextBox 5426">
          <a:extLst>
            <a:ext uri="{FF2B5EF4-FFF2-40B4-BE49-F238E27FC236}">
              <a16:creationId xmlns:a16="http://schemas.microsoft.com/office/drawing/2014/main" id="{00000000-0008-0000-0000-00000F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428" name="TextBox 5427">
          <a:extLst>
            <a:ext uri="{FF2B5EF4-FFF2-40B4-BE49-F238E27FC236}">
              <a16:creationId xmlns:a16="http://schemas.microsoft.com/office/drawing/2014/main" id="{00000000-0008-0000-0000-000010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429" name="TextBox 5428">
          <a:extLst>
            <a:ext uri="{FF2B5EF4-FFF2-40B4-BE49-F238E27FC236}">
              <a16:creationId xmlns:a16="http://schemas.microsoft.com/office/drawing/2014/main" id="{00000000-0008-0000-0000-000011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430" name="TextBox 5429">
          <a:extLst>
            <a:ext uri="{FF2B5EF4-FFF2-40B4-BE49-F238E27FC236}">
              <a16:creationId xmlns:a16="http://schemas.microsoft.com/office/drawing/2014/main" id="{00000000-0008-0000-0000-000012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431" name="TextBox 5430">
          <a:extLst>
            <a:ext uri="{FF2B5EF4-FFF2-40B4-BE49-F238E27FC236}">
              <a16:creationId xmlns:a16="http://schemas.microsoft.com/office/drawing/2014/main" id="{00000000-0008-0000-0000-000013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432" name="TextBox 5431">
          <a:extLst>
            <a:ext uri="{FF2B5EF4-FFF2-40B4-BE49-F238E27FC236}">
              <a16:creationId xmlns:a16="http://schemas.microsoft.com/office/drawing/2014/main" id="{00000000-0008-0000-0000-000014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433" name="TextBox 5432">
          <a:extLst>
            <a:ext uri="{FF2B5EF4-FFF2-40B4-BE49-F238E27FC236}">
              <a16:creationId xmlns:a16="http://schemas.microsoft.com/office/drawing/2014/main" id="{00000000-0008-0000-0000-000015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434" name="TextBox 5433">
          <a:extLst>
            <a:ext uri="{FF2B5EF4-FFF2-40B4-BE49-F238E27FC236}">
              <a16:creationId xmlns:a16="http://schemas.microsoft.com/office/drawing/2014/main" id="{00000000-0008-0000-0000-00001600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435" name="TextBox 5434">
          <a:extLst>
            <a:ext uri="{FF2B5EF4-FFF2-40B4-BE49-F238E27FC236}">
              <a16:creationId xmlns:a16="http://schemas.microsoft.com/office/drawing/2014/main" id="{00000000-0008-0000-0000-00001700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436" name="TextBox 5435">
          <a:extLst>
            <a:ext uri="{FF2B5EF4-FFF2-40B4-BE49-F238E27FC236}">
              <a16:creationId xmlns:a16="http://schemas.microsoft.com/office/drawing/2014/main" id="{00000000-0008-0000-0000-00001800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437" name="TextBox 5436">
          <a:extLst>
            <a:ext uri="{FF2B5EF4-FFF2-40B4-BE49-F238E27FC236}">
              <a16:creationId xmlns:a16="http://schemas.microsoft.com/office/drawing/2014/main" id="{00000000-0008-0000-0000-00001900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5438" name="TextBox 5437">
          <a:extLst>
            <a:ext uri="{FF2B5EF4-FFF2-40B4-BE49-F238E27FC236}">
              <a16:creationId xmlns:a16="http://schemas.microsoft.com/office/drawing/2014/main" id="{00000000-0008-0000-0000-00001A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5439" name="TextBox 5438">
          <a:extLst>
            <a:ext uri="{FF2B5EF4-FFF2-40B4-BE49-F238E27FC236}">
              <a16:creationId xmlns:a16="http://schemas.microsoft.com/office/drawing/2014/main" id="{00000000-0008-0000-0000-00001B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173</xdr:row>
      <xdr:rowOff>0</xdr:rowOff>
    </xdr:from>
    <xdr:ext cx="65" cy="172227"/>
    <xdr:sp macro="" textlink="">
      <xdr:nvSpPr>
        <xdr:cNvPr id="5440" name="TextBox 5439">
          <a:extLst>
            <a:ext uri="{FF2B5EF4-FFF2-40B4-BE49-F238E27FC236}">
              <a16:creationId xmlns:a16="http://schemas.microsoft.com/office/drawing/2014/main" id="{00000000-0008-0000-0000-00001C000000}"/>
            </a:ext>
          </a:extLst>
        </xdr:cNvPr>
        <xdr:cNvSpPr txBox="1"/>
      </xdr:nvSpPr>
      <xdr:spPr>
        <a:xfrm>
          <a:off x="8267700" y="3542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173</xdr:row>
      <xdr:rowOff>0</xdr:rowOff>
    </xdr:from>
    <xdr:ext cx="65" cy="172227"/>
    <xdr:sp macro="" textlink="">
      <xdr:nvSpPr>
        <xdr:cNvPr id="5441" name="TextBox 5440">
          <a:extLst>
            <a:ext uri="{FF2B5EF4-FFF2-40B4-BE49-F238E27FC236}">
              <a16:creationId xmlns:a16="http://schemas.microsoft.com/office/drawing/2014/main" id="{00000000-0008-0000-0000-00001D000000}"/>
            </a:ext>
          </a:extLst>
        </xdr:cNvPr>
        <xdr:cNvSpPr txBox="1"/>
      </xdr:nvSpPr>
      <xdr:spPr>
        <a:xfrm>
          <a:off x="8267700" y="3542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5442" name="TextBox 5441">
          <a:extLst>
            <a:ext uri="{FF2B5EF4-FFF2-40B4-BE49-F238E27FC236}">
              <a16:creationId xmlns:a16="http://schemas.microsoft.com/office/drawing/2014/main" id="{00000000-0008-0000-0000-00001E000000}"/>
            </a:ext>
          </a:extLst>
        </xdr:cNvPr>
        <xdr:cNvSpPr txBox="1"/>
      </xdr:nvSpPr>
      <xdr:spPr>
        <a:xfrm>
          <a:off x="8267700" y="36522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5443" name="TextBox 5442">
          <a:extLst>
            <a:ext uri="{FF2B5EF4-FFF2-40B4-BE49-F238E27FC236}">
              <a16:creationId xmlns:a16="http://schemas.microsoft.com/office/drawing/2014/main" id="{00000000-0008-0000-0000-00001F000000}"/>
            </a:ext>
          </a:extLst>
        </xdr:cNvPr>
        <xdr:cNvSpPr txBox="1"/>
      </xdr:nvSpPr>
      <xdr:spPr>
        <a:xfrm>
          <a:off x="8267700" y="36522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5444" name="TextBox 5443">
          <a:extLst>
            <a:ext uri="{FF2B5EF4-FFF2-40B4-BE49-F238E27FC236}">
              <a16:creationId xmlns:a16="http://schemas.microsoft.com/office/drawing/2014/main" id="{00000000-0008-0000-0000-000020000000}"/>
            </a:ext>
          </a:extLst>
        </xdr:cNvPr>
        <xdr:cNvSpPr txBox="1"/>
      </xdr:nvSpPr>
      <xdr:spPr>
        <a:xfrm>
          <a:off x="8267700" y="36705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5445" name="TextBox 5444">
          <a:extLst>
            <a:ext uri="{FF2B5EF4-FFF2-40B4-BE49-F238E27FC236}">
              <a16:creationId xmlns:a16="http://schemas.microsoft.com/office/drawing/2014/main" id="{00000000-0008-0000-0000-000021000000}"/>
            </a:ext>
          </a:extLst>
        </xdr:cNvPr>
        <xdr:cNvSpPr txBox="1"/>
      </xdr:nvSpPr>
      <xdr:spPr>
        <a:xfrm>
          <a:off x="8267700" y="36705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5446" name="TextBox 5445">
          <a:extLst>
            <a:ext uri="{FF2B5EF4-FFF2-40B4-BE49-F238E27FC236}">
              <a16:creationId xmlns:a16="http://schemas.microsoft.com/office/drawing/2014/main" id="{00000000-0008-0000-0000-000022000000}"/>
            </a:ext>
          </a:extLst>
        </xdr:cNvPr>
        <xdr:cNvSpPr txBox="1"/>
      </xdr:nvSpPr>
      <xdr:spPr>
        <a:xfrm>
          <a:off x="8267700" y="3688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5447" name="TextBox 5446">
          <a:extLst>
            <a:ext uri="{FF2B5EF4-FFF2-40B4-BE49-F238E27FC236}">
              <a16:creationId xmlns:a16="http://schemas.microsoft.com/office/drawing/2014/main" id="{00000000-0008-0000-0000-000023000000}"/>
            </a:ext>
          </a:extLst>
        </xdr:cNvPr>
        <xdr:cNvSpPr txBox="1"/>
      </xdr:nvSpPr>
      <xdr:spPr>
        <a:xfrm>
          <a:off x="8267700" y="3688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5448" name="TextBox 5447">
          <a:extLst>
            <a:ext uri="{FF2B5EF4-FFF2-40B4-BE49-F238E27FC236}">
              <a16:creationId xmlns:a16="http://schemas.microsoft.com/office/drawing/2014/main" id="{00000000-0008-0000-0000-000024000000}"/>
            </a:ext>
          </a:extLst>
        </xdr:cNvPr>
        <xdr:cNvSpPr txBox="1"/>
      </xdr:nvSpPr>
      <xdr:spPr>
        <a:xfrm>
          <a:off x="8267700" y="37071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5449" name="TextBox 5448">
          <a:extLst>
            <a:ext uri="{FF2B5EF4-FFF2-40B4-BE49-F238E27FC236}">
              <a16:creationId xmlns:a16="http://schemas.microsoft.com/office/drawing/2014/main" id="{00000000-0008-0000-0000-000025000000}"/>
            </a:ext>
          </a:extLst>
        </xdr:cNvPr>
        <xdr:cNvSpPr txBox="1"/>
      </xdr:nvSpPr>
      <xdr:spPr>
        <a:xfrm>
          <a:off x="8267700" y="37071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183</xdr:row>
      <xdr:rowOff>0</xdr:rowOff>
    </xdr:from>
    <xdr:ext cx="65" cy="172227"/>
    <xdr:sp macro="" textlink="">
      <xdr:nvSpPr>
        <xdr:cNvPr id="5450" name="TextBox 5449">
          <a:extLst>
            <a:ext uri="{FF2B5EF4-FFF2-40B4-BE49-F238E27FC236}">
              <a16:creationId xmlns:a16="http://schemas.microsoft.com/office/drawing/2014/main" id="{00000000-0008-0000-0000-000026000000}"/>
            </a:ext>
          </a:extLst>
        </xdr:cNvPr>
        <xdr:cNvSpPr txBox="1"/>
      </xdr:nvSpPr>
      <xdr:spPr>
        <a:xfrm>
          <a:off x="8267700" y="3725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183</xdr:row>
      <xdr:rowOff>0</xdr:rowOff>
    </xdr:from>
    <xdr:ext cx="65" cy="172227"/>
    <xdr:sp macro="" textlink="">
      <xdr:nvSpPr>
        <xdr:cNvPr id="5451" name="TextBox 5450">
          <a:extLst>
            <a:ext uri="{FF2B5EF4-FFF2-40B4-BE49-F238E27FC236}">
              <a16:creationId xmlns:a16="http://schemas.microsoft.com/office/drawing/2014/main" id="{00000000-0008-0000-0000-000027000000}"/>
            </a:ext>
          </a:extLst>
        </xdr:cNvPr>
        <xdr:cNvSpPr txBox="1"/>
      </xdr:nvSpPr>
      <xdr:spPr>
        <a:xfrm>
          <a:off x="8267700" y="3725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189</xdr:row>
      <xdr:rowOff>0</xdr:rowOff>
    </xdr:from>
    <xdr:ext cx="65" cy="172227"/>
    <xdr:sp macro="" textlink="">
      <xdr:nvSpPr>
        <xdr:cNvPr id="5452" name="TextBox 5451">
          <a:extLst>
            <a:ext uri="{FF2B5EF4-FFF2-40B4-BE49-F238E27FC236}">
              <a16:creationId xmlns:a16="http://schemas.microsoft.com/office/drawing/2014/main" id="{00000000-0008-0000-0000-000028000000}"/>
            </a:ext>
          </a:extLst>
        </xdr:cNvPr>
        <xdr:cNvSpPr txBox="1"/>
      </xdr:nvSpPr>
      <xdr:spPr>
        <a:xfrm>
          <a:off x="8267700" y="3835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189</xdr:row>
      <xdr:rowOff>0</xdr:rowOff>
    </xdr:from>
    <xdr:ext cx="65" cy="172227"/>
    <xdr:sp macro="" textlink="">
      <xdr:nvSpPr>
        <xdr:cNvPr id="5453" name="TextBox 5452">
          <a:extLst>
            <a:ext uri="{FF2B5EF4-FFF2-40B4-BE49-F238E27FC236}">
              <a16:creationId xmlns:a16="http://schemas.microsoft.com/office/drawing/2014/main" id="{00000000-0008-0000-0000-000029000000}"/>
            </a:ext>
          </a:extLst>
        </xdr:cNvPr>
        <xdr:cNvSpPr txBox="1"/>
      </xdr:nvSpPr>
      <xdr:spPr>
        <a:xfrm>
          <a:off x="8267700" y="3835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190</xdr:row>
      <xdr:rowOff>0</xdr:rowOff>
    </xdr:from>
    <xdr:ext cx="65" cy="172227"/>
    <xdr:sp macro="" textlink="">
      <xdr:nvSpPr>
        <xdr:cNvPr id="5454" name="TextBox 5453">
          <a:extLst>
            <a:ext uri="{FF2B5EF4-FFF2-40B4-BE49-F238E27FC236}">
              <a16:creationId xmlns:a16="http://schemas.microsoft.com/office/drawing/2014/main" id="{00000000-0008-0000-0000-00002A000000}"/>
            </a:ext>
          </a:extLst>
        </xdr:cNvPr>
        <xdr:cNvSpPr txBox="1"/>
      </xdr:nvSpPr>
      <xdr:spPr>
        <a:xfrm>
          <a:off x="8267700" y="38534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190</xdr:row>
      <xdr:rowOff>0</xdr:rowOff>
    </xdr:from>
    <xdr:ext cx="65" cy="172227"/>
    <xdr:sp macro="" textlink="">
      <xdr:nvSpPr>
        <xdr:cNvPr id="5455" name="TextBox 5454">
          <a:extLst>
            <a:ext uri="{FF2B5EF4-FFF2-40B4-BE49-F238E27FC236}">
              <a16:creationId xmlns:a16="http://schemas.microsoft.com/office/drawing/2014/main" id="{00000000-0008-0000-0000-00002B000000}"/>
            </a:ext>
          </a:extLst>
        </xdr:cNvPr>
        <xdr:cNvSpPr txBox="1"/>
      </xdr:nvSpPr>
      <xdr:spPr>
        <a:xfrm>
          <a:off x="8267700" y="38534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191</xdr:row>
      <xdr:rowOff>0</xdr:rowOff>
    </xdr:from>
    <xdr:ext cx="65" cy="172227"/>
    <xdr:sp macro="" textlink="">
      <xdr:nvSpPr>
        <xdr:cNvPr id="5456" name="TextBox 5455">
          <a:extLst>
            <a:ext uri="{FF2B5EF4-FFF2-40B4-BE49-F238E27FC236}">
              <a16:creationId xmlns:a16="http://schemas.microsoft.com/office/drawing/2014/main" id="{00000000-0008-0000-0000-00002C000000}"/>
            </a:ext>
          </a:extLst>
        </xdr:cNvPr>
        <xdr:cNvSpPr txBox="1"/>
      </xdr:nvSpPr>
      <xdr:spPr>
        <a:xfrm>
          <a:off x="8267700" y="38717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191</xdr:row>
      <xdr:rowOff>0</xdr:rowOff>
    </xdr:from>
    <xdr:ext cx="65" cy="172227"/>
    <xdr:sp macro="" textlink="">
      <xdr:nvSpPr>
        <xdr:cNvPr id="5457" name="TextBox 5456">
          <a:extLst>
            <a:ext uri="{FF2B5EF4-FFF2-40B4-BE49-F238E27FC236}">
              <a16:creationId xmlns:a16="http://schemas.microsoft.com/office/drawing/2014/main" id="{00000000-0008-0000-0000-00002D000000}"/>
            </a:ext>
          </a:extLst>
        </xdr:cNvPr>
        <xdr:cNvSpPr txBox="1"/>
      </xdr:nvSpPr>
      <xdr:spPr>
        <a:xfrm>
          <a:off x="8267700" y="38717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192</xdr:row>
      <xdr:rowOff>0</xdr:rowOff>
    </xdr:from>
    <xdr:ext cx="65" cy="172227"/>
    <xdr:sp macro="" textlink="">
      <xdr:nvSpPr>
        <xdr:cNvPr id="5458" name="TextBox 5457">
          <a:extLst>
            <a:ext uri="{FF2B5EF4-FFF2-40B4-BE49-F238E27FC236}">
              <a16:creationId xmlns:a16="http://schemas.microsoft.com/office/drawing/2014/main" id="{00000000-0008-0000-0000-00002E000000}"/>
            </a:ext>
          </a:extLst>
        </xdr:cNvPr>
        <xdr:cNvSpPr txBox="1"/>
      </xdr:nvSpPr>
      <xdr:spPr>
        <a:xfrm>
          <a:off x="8267700" y="38900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192</xdr:row>
      <xdr:rowOff>0</xdr:rowOff>
    </xdr:from>
    <xdr:ext cx="65" cy="172227"/>
    <xdr:sp macro="" textlink="">
      <xdr:nvSpPr>
        <xdr:cNvPr id="5459" name="TextBox 5458">
          <a:extLst>
            <a:ext uri="{FF2B5EF4-FFF2-40B4-BE49-F238E27FC236}">
              <a16:creationId xmlns:a16="http://schemas.microsoft.com/office/drawing/2014/main" id="{00000000-0008-0000-0000-00002F000000}"/>
            </a:ext>
          </a:extLst>
        </xdr:cNvPr>
        <xdr:cNvSpPr txBox="1"/>
      </xdr:nvSpPr>
      <xdr:spPr>
        <a:xfrm>
          <a:off x="8267700" y="38900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193</xdr:row>
      <xdr:rowOff>0</xdr:rowOff>
    </xdr:from>
    <xdr:ext cx="65" cy="172227"/>
    <xdr:sp macro="" textlink="">
      <xdr:nvSpPr>
        <xdr:cNvPr id="5460" name="TextBox 5459">
          <a:extLst>
            <a:ext uri="{FF2B5EF4-FFF2-40B4-BE49-F238E27FC236}">
              <a16:creationId xmlns:a16="http://schemas.microsoft.com/office/drawing/2014/main" id="{00000000-0008-0000-0000-000030000000}"/>
            </a:ext>
          </a:extLst>
        </xdr:cNvPr>
        <xdr:cNvSpPr txBox="1"/>
      </xdr:nvSpPr>
      <xdr:spPr>
        <a:xfrm>
          <a:off x="8267700" y="39082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193</xdr:row>
      <xdr:rowOff>0</xdr:rowOff>
    </xdr:from>
    <xdr:ext cx="65" cy="172227"/>
    <xdr:sp macro="" textlink="">
      <xdr:nvSpPr>
        <xdr:cNvPr id="5461" name="TextBox 5460">
          <a:extLst>
            <a:ext uri="{FF2B5EF4-FFF2-40B4-BE49-F238E27FC236}">
              <a16:creationId xmlns:a16="http://schemas.microsoft.com/office/drawing/2014/main" id="{00000000-0008-0000-0000-000031000000}"/>
            </a:ext>
          </a:extLst>
        </xdr:cNvPr>
        <xdr:cNvSpPr txBox="1"/>
      </xdr:nvSpPr>
      <xdr:spPr>
        <a:xfrm>
          <a:off x="8267700" y="39082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62" name="TextBox 5461">
          <a:extLst>
            <a:ext uri="{FF2B5EF4-FFF2-40B4-BE49-F238E27FC236}">
              <a16:creationId xmlns:a16="http://schemas.microsoft.com/office/drawing/2014/main" id="{00000000-0008-0000-0000-000032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63" name="TextBox 5462">
          <a:extLst>
            <a:ext uri="{FF2B5EF4-FFF2-40B4-BE49-F238E27FC236}">
              <a16:creationId xmlns:a16="http://schemas.microsoft.com/office/drawing/2014/main" id="{00000000-0008-0000-0000-000033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64" name="TextBox 5463">
          <a:extLst>
            <a:ext uri="{FF2B5EF4-FFF2-40B4-BE49-F238E27FC236}">
              <a16:creationId xmlns:a16="http://schemas.microsoft.com/office/drawing/2014/main" id="{00000000-0008-0000-0000-000034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65" name="TextBox 5464">
          <a:extLst>
            <a:ext uri="{FF2B5EF4-FFF2-40B4-BE49-F238E27FC236}">
              <a16:creationId xmlns:a16="http://schemas.microsoft.com/office/drawing/2014/main" id="{00000000-0008-0000-0000-000035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66" name="TextBox 5465">
          <a:extLst>
            <a:ext uri="{FF2B5EF4-FFF2-40B4-BE49-F238E27FC236}">
              <a16:creationId xmlns:a16="http://schemas.microsoft.com/office/drawing/2014/main" id="{00000000-0008-0000-0000-000036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67" name="TextBox 5466">
          <a:extLst>
            <a:ext uri="{FF2B5EF4-FFF2-40B4-BE49-F238E27FC236}">
              <a16:creationId xmlns:a16="http://schemas.microsoft.com/office/drawing/2014/main" id="{00000000-0008-0000-0000-000037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68" name="TextBox 5467">
          <a:extLst>
            <a:ext uri="{FF2B5EF4-FFF2-40B4-BE49-F238E27FC236}">
              <a16:creationId xmlns:a16="http://schemas.microsoft.com/office/drawing/2014/main" id="{00000000-0008-0000-0000-000038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69" name="TextBox 5468">
          <a:extLst>
            <a:ext uri="{FF2B5EF4-FFF2-40B4-BE49-F238E27FC236}">
              <a16:creationId xmlns:a16="http://schemas.microsoft.com/office/drawing/2014/main" id="{00000000-0008-0000-0000-000039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70" name="TextBox 5469">
          <a:extLst>
            <a:ext uri="{FF2B5EF4-FFF2-40B4-BE49-F238E27FC236}">
              <a16:creationId xmlns:a16="http://schemas.microsoft.com/office/drawing/2014/main" id="{00000000-0008-0000-0000-00003A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71" name="TextBox 5470">
          <a:extLst>
            <a:ext uri="{FF2B5EF4-FFF2-40B4-BE49-F238E27FC236}">
              <a16:creationId xmlns:a16="http://schemas.microsoft.com/office/drawing/2014/main" id="{00000000-0008-0000-0000-00003B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72" name="TextBox 5471">
          <a:extLst>
            <a:ext uri="{FF2B5EF4-FFF2-40B4-BE49-F238E27FC236}">
              <a16:creationId xmlns:a16="http://schemas.microsoft.com/office/drawing/2014/main" id="{00000000-0008-0000-0000-00003C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73" name="TextBox 5472">
          <a:extLst>
            <a:ext uri="{FF2B5EF4-FFF2-40B4-BE49-F238E27FC236}">
              <a16:creationId xmlns:a16="http://schemas.microsoft.com/office/drawing/2014/main" id="{00000000-0008-0000-0000-00003D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74" name="TextBox 5473">
          <a:extLst>
            <a:ext uri="{FF2B5EF4-FFF2-40B4-BE49-F238E27FC236}">
              <a16:creationId xmlns:a16="http://schemas.microsoft.com/office/drawing/2014/main" id="{00000000-0008-0000-0000-00003E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75" name="TextBox 5474">
          <a:extLst>
            <a:ext uri="{FF2B5EF4-FFF2-40B4-BE49-F238E27FC236}">
              <a16:creationId xmlns:a16="http://schemas.microsoft.com/office/drawing/2014/main" id="{00000000-0008-0000-0000-00003F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76" name="TextBox 5475">
          <a:extLst>
            <a:ext uri="{FF2B5EF4-FFF2-40B4-BE49-F238E27FC236}">
              <a16:creationId xmlns:a16="http://schemas.microsoft.com/office/drawing/2014/main" id="{00000000-0008-0000-0000-000040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77" name="TextBox 5476">
          <a:extLst>
            <a:ext uri="{FF2B5EF4-FFF2-40B4-BE49-F238E27FC236}">
              <a16:creationId xmlns:a16="http://schemas.microsoft.com/office/drawing/2014/main" id="{00000000-0008-0000-0000-000041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78" name="TextBox 5477">
          <a:extLst>
            <a:ext uri="{FF2B5EF4-FFF2-40B4-BE49-F238E27FC236}">
              <a16:creationId xmlns:a16="http://schemas.microsoft.com/office/drawing/2014/main" id="{00000000-0008-0000-0000-000042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79" name="TextBox 5478">
          <a:extLst>
            <a:ext uri="{FF2B5EF4-FFF2-40B4-BE49-F238E27FC236}">
              <a16:creationId xmlns:a16="http://schemas.microsoft.com/office/drawing/2014/main" id="{00000000-0008-0000-0000-000043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80" name="TextBox 5479">
          <a:extLst>
            <a:ext uri="{FF2B5EF4-FFF2-40B4-BE49-F238E27FC236}">
              <a16:creationId xmlns:a16="http://schemas.microsoft.com/office/drawing/2014/main" id="{00000000-0008-0000-0000-000044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81" name="TextBox 5480">
          <a:extLst>
            <a:ext uri="{FF2B5EF4-FFF2-40B4-BE49-F238E27FC236}">
              <a16:creationId xmlns:a16="http://schemas.microsoft.com/office/drawing/2014/main" id="{00000000-0008-0000-0000-000045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482" name="TextBox 5481">
          <a:extLst>
            <a:ext uri="{FF2B5EF4-FFF2-40B4-BE49-F238E27FC236}">
              <a16:creationId xmlns:a16="http://schemas.microsoft.com/office/drawing/2014/main" id="{00000000-0008-0000-0000-000048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483" name="TextBox 5482">
          <a:extLst>
            <a:ext uri="{FF2B5EF4-FFF2-40B4-BE49-F238E27FC236}">
              <a16:creationId xmlns:a16="http://schemas.microsoft.com/office/drawing/2014/main" id="{00000000-0008-0000-0000-000049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484" name="TextBox 5483">
          <a:extLst>
            <a:ext uri="{FF2B5EF4-FFF2-40B4-BE49-F238E27FC236}">
              <a16:creationId xmlns:a16="http://schemas.microsoft.com/office/drawing/2014/main" id="{00000000-0008-0000-0000-00004C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485" name="TextBox 5484">
          <a:extLst>
            <a:ext uri="{FF2B5EF4-FFF2-40B4-BE49-F238E27FC236}">
              <a16:creationId xmlns:a16="http://schemas.microsoft.com/office/drawing/2014/main" id="{00000000-0008-0000-0000-00004D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486" name="TextBox 5485">
          <a:extLst>
            <a:ext uri="{FF2B5EF4-FFF2-40B4-BE49-F238E27FC236}">
              <a16:creationId xmlns:a16="http://schemas.microsoft.com/office/drawing/2014/main" id="{00000000-0008-0000-0000-00004E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487" name="TextBox 5486">
          <a:extLst>
            <a:ext uri="{FF2B5EF4-FFF2-40B4-BE49-F238E27FC236}">
              <a16:creationId xmlns:a16="http://schemas.microsoft.com/office/drawing/2014/main" id="{00000000-0008-0000-0000-00004F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488" name="TextBox 5487">
          <a:extLst>
            <a:ext uri="{FF2B5EF4-FFF2-40B4-BE49-F238E27FC236}">
              <a16:creationId xmlns:a16="http://schemas.microsoft.com/office/drawing/2014/main" id="{00000000-0008-0000-0000-000050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489" name="TextBox 5488">
          <a:extLst>
            <a:ext uri="{FF2B5EF4-FFF2-40B4-BE49-F238E27FC236}">
              <a16:creationId xmlns:a16="http://schemas.microsoft.com/office/drawing/2014/main" id="{00000000-0008-0000-0000-000051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490" name="TextBox 5489">
          <a:extLst>
            <a:ext uri="{FF2B5EF4-FFF2-40B4-BE49-F238E27FC236}">
              <a16:creationId xmlns:a16="http://schemas.microsoft.com/office/drawing/2014/main" id="{00000000-0008-0000-0000-000052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491" name="TextBox 5490">
          <a:extLst>
            <a:ext uri="{FF2B5EF4-FFF2-40B4-BE49-F238E27FC236}">
              <a16:creationId xmlns:a16="http://schemas.microsoft.com/office/drawing/2014/main" id="{00000000-0008-0000-0000-000053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492" name="TextBox 5491">
          <a:extLst>
            <a:ext uri="{FF2B5EF4-FFF2-40B4-BE49-F238E27FC236}">
              <a16:creationId xmlns:a16="http://schemas.microsoft.com/office/drawing/2014/main" id="{00000000-0008-0000-0000-000054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493" name="TextBox 5492">
          <a:extLst>
            <a:ext uri="{FF2B5EF4-FFF2-40B4-BE49-F238E27FC236}">
              <a16:creationId xmlns:a16="http://schemas.microsoft.com/office/drawing/2014/main" id="{00000000-0008-0000-0000-000055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494" name="TextBox 5493">
          <a:extLst>
            <a:ext uri="{FF2B5EF4-FFF2-40B4-BE49-F238E27FC236}">
              <a16:creationId xmlns:a16="http://schemas.microsoft.com/office/drawing/2014/main" id="{00000000-0008-0000-0000-000056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495" name="TextBox 5494">
          <a:extLst>
            <a:ext uri="{FF2B5EF4-FFF2-40B4-BE49-F238E27FC236}">
              <a16:creationId xmlns:a16="http://schemas.microsoft.com/office/drawing/2014/main" id="{00000000-0008-0000-0000-00005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496" name="TextBox 5495">
          <a:extLst>
            <a:ext uri="{FF2B5EF4-FFF2-40B4-BE49-F238E27FC236}">
              <a16:creationId xmlns:a16="http://schemas.microsoft.com/office/drawing/2014/main" id="{00000000-0008-0000-0000-000058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497" name="TextBox 5496">
          <a:extLst>
            <a:ext uri="{FF2B5EF4-FFF2-40B4-BE49-F238E27FC236}">
              <a16:creationId xmlns:a16="http://schemas.microsoft.com/office/drawing/2014/main" id="{00000000-0008-0000-0000-000059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498" name="TextBox 5497">
          <a:extLst>
            <a:ext uri="{FF2B5EF4-FFF2-40B4-BE49-F238E27FC236}">
              <a16:creationId xmlns:a16="http://schemas.microsoft.com/office/drawing/2014/main" id="{00000000-0008-0000-0000-00005A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499" name="TextBox 5498">
          <a:extLst>
            <a:ext uri="{FF2B5EF4-FFF2-40B4-BE49-F238E27FC236}">
              <a16:creationId xmlns:a16="http://schemas.microsoft.com/office/drawing/2014/main" id="{00000000-0008-0000-0000-00005B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00" name="TextBox 5499">
          <a:extLst>
            <a:ext uri="{FF2B5EF4-FFF2-40B4-BE49-F238E27FC236}">
              <a16:creationId xmlns:a16="http://schemas.microsoft.com/office/drawing/2014/main" id="{00000000-0008-0000-0000-00005C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01" name="TextBox 5500">
          <a:extLst>
            <a:ext uri="{FF2B5EF4-FFF2-40B4-BE49-F238E27FC236}">
              <a16:creationId xmlns:a16="http://schemas.microsoft.com/office/drawing/2014/main" id="{00000000-0008-0000-0000-00005D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02" name="TextBox 5501">
          <a:extLst>
            <a:ext uri="{FF2B5EF4-FFF2-40B4-BE49-F238E27FC236}">
              <a16:creationId xmlns:a16="http://schemas.microsoft.com/office/drawing/2014/main" id="{00000000-0008-0000-0000-00005E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03" name="TextBox 5502">
          <a:extLst>
            <a:ext uri="{FF2B5EF4-FFF2-40B4-BE49-F238E27FC236}">
              <a16:creationId xmlns:a16="http://schemas.microsoft.com/office/drawing/2014/main" id="{00000000-0008-0000-0000-00005F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504" name="TextBox 5503">
          <a:extLst>
            <a:ext uri="{FF2B5EF4-FFF2-40B4-BE49-F238E27FC236}">
              <a16:creationId xmlns:a16="http://schemas.microsoft.com/office/drawing/2014/main" id="{00000000-0008-0000-0000-000060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505" name="TextBox 5504">
          <a:extLst>
            <a:ext uri="{FF2B5EF4-FFF2-40B4-BE49-F238E27FC236}">
              <a16:creationId xmlns:a16="http://schemas.microsoft.com/office/drawing/2014/main" id="{00000000-0008-0000-0000-000061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506" name="TextBox 5505">
          <a:extLst>
            <a:ext uri="{FF2B5EF4-FFF2-40B4-BE49-F238E27FC236}">
              <a16:creationId xmlns:a16="http://schemas.microsoft.com/office/drawing/2014/main" id="{00000000-0008-0000-0000-000062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507" name="TextBox 5506">
          <a:extLst>
            <a:ext uri="{FF2B5EF4-FFF2-40B4-BE49-F238E27FC236}">
              <a16:creationId xmlns:a16="http://schemas.microsoft.com/office/drawing/2014/main" id="{00000000-0008-0000-0000-000063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08" name="TextBox 5507">
          <a:extLst>
            <a:ext uri="{FF2B5EF4-FFF2-40B4-BE49-F238E27FC236}">
              <a16:creationId xmlns:a16="http://schemas.microsoft.com/office/drawing/2014/main" id="{00000000-0008-0000-0000-000064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09" name="TextBox 5508">
          <a:extLst>
            <a:ext uri="{FF2B5EF4-FFF2-40B4-BE49-F238E27FC236}">
              <a16:creationId xmlns:a16="http://schemas.microsoft.com/office/drawing/2014/main" id="{00000000-0008-0000-0000-000065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10" name="TextBox 5509">
          <a:extLst>
            <a:ext uri="{FF2B5EF4-FFF2-40B4-BE49-F238E27FC236}">
              <a16:creationId xmlns:a16="http://schemas.microsoft.com/office/drawing/2014/main" id="{00000000-0008-0000-0000-000066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11" name="TextBox 5510">
          <a:extLst>
            <a:ext uri="{FF2B5EF4-FFF2-40B4-BE49-F238E27FC236}">
              <a16:creationId xmlns:a16="http://schemas.microsoft.com/office/drawing/2014/main" id="{00000000-0008-0000-0000-00006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12" name="TextBox 5511">
          <a:extLst>
            <a:ext uri="{FF2B5EF4-FFF2-40B4-BE49-F238E27FC236}">
              <a16:creationId xmlns:a16="http://schemas.microsoft.com/office/drawing/2014/main" id="{00000000-0008-0000-0000-000068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13" name="TextBox 5512">
          <a:extLst>
            <a:ext uri="{FF2B5EF4-FFF2-40B4-BE49-F238E27FC236}">
              <a16:creationId xmlns:a16="http://schemas.microsoft.com/office/drawing/2014/main" id="{00000000-0008-0000-0000-000069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14" name="TextBox 5513">
          <a:extLst>
            <a:ext uri="{FF2B5EF4-FFF2-40B4-BE49-F238E27FC236}">
              <a16:creationId xmlns:a16="http://schemas.microsoft.com/office/drawing/2014/main" id="{00000000-0008-0000-0000-00006A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15" name="TextBox 5514">
          <a:extLst>
            <a:ext uri="{FF2B5EF4-FFF2-40B4-BE49-F238E27FC236}">
              <a16:creationId xmlns:a16="http://schemas.microsoft.com/office/drawing/2014/main" id="{00000000-0008-0000-0000-00006B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16" name="TextBox 5515">
          <a:extLst>
            <a:ext uri="{FF2B5EF4-FFF2-40B4-BE49-F238E27FC236}">
              <a16:creationId xmlns:a16="http://schemas.microsoft.com/office/drawing/2014/main" id="{00000000-0008-0000-0000-00006C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17" name="TextBox 5516">
          <a:extLst>
            <a:ext uri="{FF2B5EF4-FFF2-40B4-BE49-F238E27FC236}">
              <a16:creationId xmlns:a16="http://schemas.microsoft.com/office/drawing/2014/main" id="{00000000-0008-0000-0000-00006D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18" name="TextBox 5517">
          <a:extLst>
            <a:ext uri="{FF2B5EF4-FFF2-40B4-BE49-F238E27FC236}">
              <a16:creationId xmlns:a16="http://schemas.microsoft.com/office/drawing/2014/main" id="{00000000-0008-0000-0000-00006E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19" name="TextBox 5518">
          <a:extLst>
            <a:ext uri="{FF2B5EF4-FFF2-40B4-BE49-F238E27FC236}">
              <a16:creationId xmlns:a16="http://schemas.microsoft.com/office/drawing/2014/main" id="{00000000-0008-0000-0000-00006F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20" name="TextBox 5519">
          <a:extLst>
            <a:ext uri="{FF2B5EF4-FFF2-40B4-BE49-F238E27FC236}">
              <a16:creationId xmlns:a16="http://schemas.microsoft.com/office/drawing/2014/main" id="{00000000-0008-0000-0000-000070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21" name="TextBox 5520">
          <a:extLst>
            <a:ext uri="{FF2B5EF4-FFF2-40B4-BE49-F238E27FC236}">
              <a16:creationId xmlns:a16="http://schemas.microsoft.com/office/drawing/2014/main" id="{00000000-0008-0000-0000-000071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22" name="TextBox 5521">
          <a:extLst>
            <a:ext uri="{FF2B5EF4-FFF2-40B4-BE49-F238E27FC236}">
              <a16:creationId xmlns:a16="http://schemas.microsoft.com/office/drawing/2014/main" id="{00000000-0008-0000-0000-000072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23" name="TextBox 5522">
          <a:extLst>
            <a:ext uri="{FF2B5EF4-FFF2-40B4-BE49-F238E27FC236}">
              <a16:creationId xmlns:a16="http://schemas.microsoft.com/office/drawing/2014/main" id="{00000000-0008-0000-0000-000073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24" name="TextBox 5523">
          <a:extLst>
            <a:ext uri="{FF2B5EF4-FFF2-40B4-BE49-F238E27FC236}">
              <a16:creationId xmlns:a16="http://schemas.microsoft.com/office/drawing/2014/main" id="{00000000-0008-0000-0000-000074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25" name="TextBox 5524">
          <a:extLst>
            <a:ext uri="{FF2B5EF4-FFF2-40B4-BE49-F238E27FC236}">
              <a16:creationId xmlns:a16="http://schemas.microsoft.com/office/drawing/2014/main" id="{00000000-0008-0000-0000-000075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26" name="TextBox 5525">
          <a:extLst>
            <a:ext uri="{FF2B5EF4-FFF2-40B4-BE49-F238E27FC236}">
              <a16:creationId xmlns:a16="http://schemas.microsoft.com/office/drawing/2014/main" id="{00000000-0008-0000-0000-000076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27" name="TextBox 5526">
          <a:extLst>
            <a:ext uri="{FF2B5EF4-FFF2-40B4-BE49-F238E27FC236}">
              <a16:creationId xmlns:a16="http://schemas.microsoft.com/office/drawing/2014/main" id="{00000000-0008-0000-0000-000077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28" name="TextBox 5527">
          <a:extLst>
            <a:ext uri="{FF2B5EF4-FFF2-40B4-BE49-F238E27FC236}">
              <a16:creationId xmlns:a16="http://schemas.microsoft.com/office/drawing/2014/main" id="{00000000-0008-0000-0000-000078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29" name="TextBox 5528">
          <a:extLst>
            <a:ext uri="{FF2B5EF4-FFF2-40B4-BE49-F238E27FC236}">
              <a16:creationId xmlns:a16="http://schemas.microsoft.com/office/drawing/2014/main" id="{00000000-0008-0000-0000-000079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30" name="TextBox 5529">
          <a:extLst>
            <a:ext uri="{FF2B5EF4-FFF2-40B4-BE49-F238E27FC236}">
              <a16:creationId xmlns:a16="http://schemas.microsoft.com/office/drawing/2014/main" id="{00000000-0008-0000-0000-00007A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31" name="TextBox 5530">
          <a:extLst>
            <a:ext uri="{FF2B5EF4-FFF2-40B4-BE49-F238E27FC236}">
              <a16:creationId xmlns:a16="http://schemas.microsoft.com/office/drawing/2014/main" id="{00000000-0008-0000-0000-00007B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532" name="TextBox 5531">
          <a:extLst>
            <a:ext uri="{FF2B5EF4-FFF2-40B4-BE49-F238E27FC236}">
              <a16:creationId xmlns:a16="http://schemas.microsoft.com/office/drawing/2014/main" id="{00000000-0008-0000-0000-00007C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533" name="TextBox 5532">
          <a:extLst>
            <a:ext uri="{FF2B5EF4-FFF2-40B4-BE49-F238E27FC236}">
              <a16:creationId xmlns:a16="http://schemas.microsoft.com/office/drawing/2014/main" id="{00000000-0008-0000-0000-00007D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534" name="TextBox 5533">
          <a:extLst>
            <a:ext uri="{FF2B5EF4-FFF2-40B4-BE49-F238E27FC236}">
              <a16:creationId xmlns:a16="http://schemas.microsoft.com/office/drawing/2014/main" id="{00000000-0008-0000-0000-00007E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535" name="TextBox 5534">
          <a:extLst>
            <a:ext uri="{FF2B5EF4-FFF2-40B4-BE49-F238E27FC236}">
              <a16:creationId xmlns:a16="http://schemas.microsoft.com/office/drawing/2014/main" id="{00000000-0008-0000-0000-00007F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36" name="TextBox 5535">
          <a:extLst>
            <a:ext uri="{FF2B5EF4-FFF2-40B4-BE49-F238E27FC236}">
              <a16:creationId xmlns:a16="http://schemas.microsoft.com/office/drawing/2014/main" id="{00000000-0008-0000-0000-000080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37" name="TextBox 5536">
          <a:extLst>
            <a:ext uri="{FF2B5EF4-FFF2-40B4-BE49-F238E27FC236}">
              <a16:creationId xmlns:a16="http://schemas.microsoft.com/office/drawing/2014/main" id="{00000000-0008-0000-0000-000081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38" name="TextBox 5537">
          <a:extLst>
            <a:ext uri="{FF2B5EF4-FFF2-40B4-BE49-F238E27FC236}">
              <a16:creationId xmlns:a16="http://schemas.microsoft.com/office/drawing/2014/main" id="{00000000-0008-0000-0000-000082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39" name="TextBox 5538">
          <a:extLst>
            <a:ext uri="{FF2B5EF4-FFF2-40B4-BE49-F238E27FC236}">
              <a16:creationId xmlns:a16="http://schemas.microsoft.com/office/drawing/2014/main" id="{00000000-0008-0000-0000-000083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40" name="TextBox 5539">
          <a:extLst>
            <a:ext uri="{FF2B5EF4-FFF2-40B4-BE49-F238E27FC236}">
              <a16:creationId xmlns:a16="http://schemas.microsoft.com/office/drawing/2014/main" id="{00000000-0008-0000-0000-000084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41" name="TextBox 5540">
          <a:extLst>
            <a:ext uri="{FF2B5EF4-FFF2-40B4-BE49-F238E27FC236}">
              <a16:creationId xmlns:a16="http://schemas.microsoft.com/office/drawing/2014/main" id="{00000000-0008-0000-0000-000085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42" name="TextBox 5541">
          <a:extLst>
            <a:ext uri="{FF2B5EF4-FFF2-40B4-BE49-F238E27FC236}">
              <a16:creationId xmlns:a16="http://schemas.microsoft.com/office/drawing/2014/main" id="{00000000-0008-0000-0000-000086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43" name="TextBox 5542">
          <a:extLst>
            <a:ext uri="{FF2B5EF4-FFF2-40B4-BE49-F238E27FC236}">
              <a16:creationId xmlns:a16="http://schemas.microsoft.com/office/drawing/2014/main" id="{00000000-0008-0000-0000-00008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44" name="TextBox 5543">
          <a:extLst>
            <a:ext uri="{FF2B5EF4-FFF2-40B4-BE49-F238E27FC236}">
              <a16:creationId xmlns:a16="http://schemas.microsoft.com/office/drawing/2014/main" id="{00000000-0008-0000-0000-000088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45" name="TextBox 5544">
          <a:extLst>
            <a:ext uri="{FF2B5EF4-FFF2-40B4-BE49-F238E27FC236}">
              <a16:creationId xmlns:a16="http://schemas.microsoft.com/office/drawing/2014/main" id="{00000000-0008-0000-0000-000089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46" name="TextBox 5545">
          <a:extLst>
            <a:ext uri="{FF2B5EF4-FFF2-40B4-BE49-F238E27FC236}">
              <a16:creationId xmlns:a16="http://schemas.microsoft.com/office/drawing/2014/main" id="{00000000-0008-0000-0000-00008A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547" name="TextBox 5546">
          <a:extLst>
            <a:ext uri="{FF2B5EF4-FFF2-40B4-BE49-F238E27FC236}">
              <a16:creationId xmlns:a16="http://schemas.microsoft.com/office/drawing/2014/main" id="{00000000-0008-0000-0000-00008B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48" name="TextBox 5547">
          <a:extLst>
            <a:ext uri="{FF2B5EF4-FFF2-40B4-BE49-F238E27FC236}">
              <a16:creationId xmlns:a16="http://schemas.microsoft.com/office/drawing/2014/main" id="{00000000-0008-0000-0000-00008C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49" name="TextBox 5548">
          <a:extLst>
            <a:ext uri="{FF2B5EF4-FFF2-40B4-BE49-F238E27FC236}">
              <a16:creationId xmlns:a16="http://schemas.microsoft.com/office/drawing/2014/main" id="{00000000-0008-0000-0000-00008D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50" name="TextBox 5549">
          <a:extLst>
            <a:ext uri="{FF2B5EF4-FFF2-40B4-BE49-F238E27FC236}">
              <a16:creationId xmlns:a16="http://schemas.microsoft.com/office/drawing/2014/main" id="{00000000-0008-0000-0000-00008E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51" name="TextBox 5550">
          <a:extLst>
            <a:ext uri="{FF2B5EF4-FFF2-40B4-BE49-F238E27FC236}">
              <a16:creationId xmlns:a16="http://schemas.microsoft.com/office/drawing/2014/main" id="{00000000-0008-0000-0000-00008F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52" name="TextBox 5551">
          <a:extLst>
            <a:ext uri="{FF2B5EF4-FFF2-40B4-BE49-F238E27FC236}">
              <a16:creationId xmlns:a16="http://schemas.microsoft.com/office/drawing/2014/main" id="{00000000-0008-0000-0000-000090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53" name="TextBox 5552">
          <a:extLst>
            <a:ext uri="{FF2B5EF4-FFF2-40B4-BE49-F238E27FC236}">
              <a16:creationId xmlns:a16="http://schemas.microsoft.com/office/drawing/2014/main" id="{00000000-0008-0000-0000-000091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54" name="TextBox 5553">
          <a:extLst>
            <a:ext uri="{FF2B5EF4-FFF2-40B4-BE49-F238E27FC236}">
              <a16:creationId xmlns:a16="http://schemas.microsoft.com/office/drawing/2014/main" id="{00000000-0008-0000-0000-000092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55" name="TextBox 5554">
          <a:extLst>
            <a:ext uri="{FF2B5EF4-FFF2-40B4-BE49-F238E27FC236}">
              <a16:creationId xmlns:a16="http://schemas.microsoft.com/office/drawing/2014/main" id="{00000000-0008-0000-0000-000093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56" name="TextBox 5555">
          <a:extLst>
            <a:ext uri="{FF2B5EF4-FFF2-40B4-BE49-F238E27FC236}">
              <a16:creationId xmlns:a16="http://schemas.microsoft.com/office/drawing/2014/main" id="{00000000-0008-0000-0000-000094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57" name="TextBox 5556">
          <a:extLst>
            <a:ext uri="{FF2B5EF4-FFF2-40B4-BE49-F238E27FC236}">
              <a16:creationId xmlns:a16="http://schemas.microsoft.com/office/drawing/2014/main" id="{00000000-0008-0000-0000-000095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58" name="TextBox 5557">
          <a:extLst>
            <a:ext uri="{FF2B5EF4-FFF2-40B4-BE49-F238E27FC236}">
              <a16:creationId xmlns:a16="http://schemas.microsoft.com/office/drawing/2014/main" id="{00000000-0008-0000-0000-000096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59" name="TextBox 5558">
          <a:extLst>
            <a:ext uri="{FF2B5EF4-FFF2-40B4-BE49-F238E27FC236}">
              <a16:creationId xmlns:a16="http://schemas.microsoft.com/office/drawing/2014/main" id="{00000000-0008-0000-0000-00009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60" name="TextBox 5559">
          <a:extLst>
            <a:ext uri="{FF2B5EF4-FFF2-40B4-BE49-F238E27FC236}">
              <a16:creationId xmlns:a16="http://schemas.microsoft.com/office/drawing/2014/main" id="{00000000-0008-0000-0000-000098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61" name="TextBox 5560">
          <a:extLst>
            <a:ext uri="{FF2B5EF4-FFF2-40B4-BE49-F238E27FC236}">
              <a16:creationId xmlns:a16="http://schemas.microsoft.com/office/drawing/2014/main" id="{00000000-0008-0000-0000-000099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62" name="TextBox 5561">
          <a:extLst>
            <a:ext uri="{FF2B5EF4-FFF2-40B4-BE49-F238E27FC236}">
              <a16:creationId xmlns:a16="http://schemas.microsoft.com/office/drawing/2014/main" id="{00000000-0008-0000-0000-00009A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63" name="TextBox 5562">
          <a:extLst>
            <a:ext uri="{FF2B5EF4-FFF2-40B4-BE49-F238E27FC236}">
              <a16:creationId xmlns:a16="http://schemas.microsoft.com/office/drawing/2014/main" id="{00000000-0008-0000-0000-00009B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64" name="TextBox 5563">
          <a:extLst>
            <a:ext uri="{FF2B5EF4-FFF2-40B4-BE49-F238E27FC236}">
              <a16:creationId xmlns:a16="http://schemas.microsoft.com/office/drawing/2014/main" id="{00000000-0008-0000-0000-00009C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65" name="TextBox 5564">
          <a:extLst>
            <a:ext uri="{FF2B5EF4-FFF2-40B4-BE49-F238E27FC236}">
              <a16:creationId xmlns:a16="http://schemas.microsoft.com/office/drawing/2014/main" id="{00000000-0008-0000-0000-00009D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66" name="TextBox 5565">
          <a:extLst>
            <a:ext uri="{FF2B5EF4-FFF2-40B4-BE49-F238E27FC236}">
              <a16:creationId xmlns:a16="http://schemas.microsoft.com/office/drawing/2014/main" id="{00000000-0008-0000-0000-00009E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67" name="TextBox 5566">
          <a:extLst>
            <a:ext uri="{FF2B5EF4-FFF2-40B4-BE49-F238E27FC236}">
              <a16:creationId xmlns:a16="http://schemas.microsoft.com/office/drawing/2014/main" id="{00000000-0008-0000-0000-00009F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68" name="TextBox 5567">
          <a:extLst>
            <a:ext uri="{FF2B5EF4-FFF2-40B4-BE49-F238E27FC236}">
              <a16:creationId xmlns:a16="http://schemas.microsoft.com/office/drawing/2014/main" id="{00000000-0008-0000-0000-0000A0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69" name="TextBox 5568">
          <a:extLst>
            <a:ext uri="{FF2B5EF4-FFF2-40B4-BE49-F238E27FC236}">
              <a16:creationId xmlns:a16="http://schemas.microsoft.com/office/drawing/2014/main" id="{00000000-0008-0000-0000-0000A1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70" name="TextBox 5569">
          <a:extLst>
            <a:ext uri="{FF2B5EF4-FFF2-40B4-BE49-F238E27FC236}">
              <a16:creationId xmlns:a16="http://schemas.microsoft.com/office/drawing/2014/main" id="{00000000-0008-0000-0000-0000A2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71" name="TextBox 5570">
          <a:extLst>
            <a:ext uri="{FF2B5EF4-FFF2-40B4-BE49-F238E27FC236}">
              <a16:creationId xmlns:a16="http://schemas.microsoft.com/office/drawing/2014/main" id="{00000000-0008-0000-0000-0000A3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72" name="TextBox 5571">
          <a:extLst>
            <a:ext uri="{FF2B5EF4-FFF2-40B4-BE49-F238E27FC236}">
              <a16:creationId xmlns:a16="http://schemas.microsoft.com/office/drawing/2014/main" id="{00000000-0008-0000-0000-0000A4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73" name="TextBox 5572">
          <a:extLst>
            <a:ext uri="{FF2B5EF4-FFF2-40B4-BE49-F238E27FC236}">
              <a16:creationId xmlns:a16="http://schemas.microsoft.com/office/drawing/2014/main" id="{00000000-0008-0000-0000-0000A5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74" name="TextBox 5573">
          <a:extLst>
            <a:ext uri="{FF2B5EF4-FFF2-40B4-BE49-F238E27FC236}">
              <a16:creationId xmlns:a16="http://schemas.microsoft.com/office/drawing/2014/main" id="{00000000-0008-0000-0000-0000A6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75" name="TextBox 5574">
          <a:extLst>
            <a:ext uri="{FF2B5EF4-FFF2-40B4-BE49-F238E27FC236}">
              <a16:creationId xmlns:a16="http://schemas.microsoft.com/office/drawing/2014/main" id="{00000000-0008-0000-0000-0000A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76" name="TextBox 5575">
          <a:extLst>
            <a:ext uri="{FF2B5EF4-FFF2-40B4-BE49-F238E27FC236}">
              <a16:creationId xmlns:a16="http://schemas.microsoft.com/office/drawing/2014/main" id="{00000000-0008-0000-0000-0000A8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77" name="TextBox 5576">
          <a:extLst>
            <a:ext uri="{FF2B5EF4-FFF2-40B4-BE49-F238E27FC236}">
              <a16:creationId xmlns:a16="http://schemas.microsoft.com/office/drawing/2014/main" id="{00000000-0008-0000-0000-0000A9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78" name="TextBox 5577">
          <a:extLst>
            <a:ext uri="{FF2B5EF4-FFF2-40B4-BE49-F238E27FC236}">
              <a16:creationId xmlns:a16="http://schemas.microsoft.com/office/drawing/2014/main" id="{00000000-0008-0000-0000-0000AA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79" name="TextBox 5578">
          <a:extLst>
            <a:ext uri="{FF2B5EF4-FFF2-40B4-BE49-F238E27FC236}">
              <a16:creationId xmlns:a16="http://schemas.microsoft.com/office/drawing/2014/main" id="{00000000-0008-0000-0000-0000AB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80" name="TextBox 5579">
          <a:extLst>
            <a:ext uri="{FF2B5EF4-FFF2-40B4-BE49-F238E27FC236}">
              <a16:creationId xmlns:a16="http://schemas.microsoft.com/office/drawing/2014/main" id="{00000000-0008-0000-0000-0000AC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81" name="TextBox 5580">
          <a:extLst>
            <a:ext uri="{FF2B5EF4-FFF2-40B4-BE49-F238E27FC236}">
              <a16:creationId xmlns:a16="http://schemas.microsoft.com/office/drawing/2014/main" id="{00000000-0008-0000-0000-0000AD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82" name="TextBox 5581">
          <a:extLst>
            <a:ext uri="{FF2B5EF4-FFF2-40B4-BE49-F238E27FC236}">
              <a16:creationId xmlns:a16="http://schemas.microsoft.com/office/drawing/2014/main" id="{00000000-0008-0000-0000-0000AE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83" name="TextBox 5582">
          <a:extLst>
            <a:ext uri="{FF2B5EF4-FFF2-40B4-BE49-F238E27FC236}">
              <a16:creationId xmlns:a16="http://schemas.microsoft.com/office/drawing/2014/main" id="{00000000-0008-0000-0000-0000AF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84" name="TextBox 5583">
          <a:extLst>
            <a:ext uri="{FF2B5EF4-FFF2-40B4-BE49-F238E27FC236}">
              <a16:creationId xmlns:a16="http://schemas.microsoft.com/office/drawing/2014/main" id="{00000000-0008-0000-0000-0000B0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85" name="TextBox 5584">
          <a:extLst>
            <a:ext uri="{FF2B5EF4-FFF2-40B4-BE49-F238E27FC236}">
              <a16:creationId xmlns:a16="http://schemas.microsoft.com/office/drawing/2014/main" id="{00000000-0008-0000-0000-0000B1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86" name="TextBox 5585">
          <a:extLst>
            <a:ext uri="{FF2B5EF4-FFF2-40B4-BE49-F238E27FC236}">
              <a16:creationId xmlns:a16="http://schemas.microsoft.com/office/drawing/2014/main" id="{00000000-0008-0000-0000-0000B2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87" name="TextBox 5586">
          <a:extLst>
            <a:ext uri="{FF2B5EF4-FFF2-40B4-BE49-F238E27FC236}">
              <a16:creationId xmlns:a16="http://schemas.microsoft.com/office/drawing/2014/main" id="{00000000-0008-0000-0000-0000B3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88" name="TextBox 5587">
          <a:extLst>
            <a:ext uri="{FF2B5EF4-FFF2-40B4-BE49-F238E27FC236}">
              <a16:creationId xmlns:a16="http://schemas.microsoft.com/office/drawing/2014/main" id="{00000000-0008-0000-0000-0000B4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89" name="TextBox 5588">
          <a:extLst>
            <a:ext uri="{FF2B5EF4-FFF2-40B4-BE49-F238E27FC236}">
              <a16:creationId xmlns:a16="http://schemas.microsoft.com/office/drawing/2014/main" id="{00000000-0008-0000-0000-0000B5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90" name="TextBox 5589">
          <a:extLst>
            <a:ext uri="{FF2B5EF4-FFF2-40B4-BE49-F238E27FC236}">
              <a16:creationId xmlns:a16="http://schemas.microsoft.com/office/drawing/2014/main" id="{00000000-0008-0000-0000-0000B6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591" name="TextBox 5590">
          <a:extLst>
            <a:ext uri="{FF2B5EF4-FFF2-40B4-BE49-F238E27FC236}">
              <a16:creationId xmlns:a16="http://schemas.microsoft.com/office/drawing/2014/main" id="{00000000-0008-0000-0000-0000B7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592" name="TextBox 5591">
          <a:extLst>
            <a:ext uri="{FF2B5EF4-FFF2-40B4-BE49-F238E27FC236}">
              <a16:creationId xmlns:a16="http://schemas.microsoft.com/office/drawing/2014/main" id="{00000000-0008-0000-0000-0000B8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593" name="TextBox 5592">
          <a:extLst>
            <a:ext uri="{FF2B5EF4-FFF2-40B4-BE49-F238E27FC236}">
              <a16:creationId xmlns:a16="http://schemas.microsoft.com/office/drawing/2014/main" id="{00000000-0008-0000-0000-0000B9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594" name="TextBox 5593">
          <a:extLst>
            <a:ext uri="{FF2B5EF4-FFF2-40B4-BE49-F238E27FC236}">
              <a16:creationId xmlns:a16="http://schemas.microsoft.com/office/drawing/2014/main" id="{00000000-0008-0000-0000-0000BA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595" name="TextBox 5594">
          <a:extLst>
            <a:ext uri="{FF2B5EF4-FFF2-40B4-BE49-F238E27FC236}">
              <a16:creationId xmlns:a16="http://schemas.microsoft.com/office/drawing/2014/main" id="{00000000-0008-0000-0000-0000BB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596" name="TextBox 5595">
          <a:extLst>
            <a:ext uri="{FF2B5EF4-FFF2-40B4-BE49-F238E27FC236}">
              <a16:creationId xmlns:a16="http://schemas.microsoft.com/office/drawing/2014/main" id="{00000000-0008-0000-0000-0000BC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597" name="TextBox 5596">
          <a:extLst>
            <a:ext uri="{FF2B5EF4-FFF2-40B4-BE49-F238E27FC236}">
              <a16:creationId xmlns:a16="http://schemas.microsoft.com/office/drawing/2014/main" id="{00000000-0008-0000-0000-0000BD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598" name="TextBox 5597">
          <a:extLst>
            <a:ext uri="{FF2B5EF4-FFF2-40B4-BE49-F238E27FC236}">
              <a16:creationId xmlns:a16="http://schemas.microsoft.com/office/drawing/2014/main" id="{00000000-0008-0000-0000-0000BE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599" name="TextBox 5598">
          <a:extLst>
            <a:ext uri="{FF2B5EF4-FFF2-40B4-BE49-F238E27FC236}">
              <a16:creationId xmlns:a16="http://schemas.microsoft.com/office/drawing/2014/main" id="{00000000-0008-0000-0000-0000BF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00" name="TextBox 5599">
          <a:extLst>
            <a:ext uri="{FF2B5EF4-FFF2-40B4-BE49-F238E27FC236}">
              <a16:creationId xmlns:a16="http://schemas.microsoft.com/office/drawing/2014/main" id="{00000000-0008-0000-0000-0000C0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01" name="TextBox 5600">
          <a:extLst>
            <a:ext uri="{FF2B5EF4-FFF2-40B4-BE49-F238E27FC236}">
              <a16:creationId xmlns:a16="http://schemas.microsoft.com/office/drawing/2014/main" id="{00000000-0008-0000-0000-0000C1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02" name="TextBox 5601">
          <a:extLst>
            <a:ext uri="{FF2B5EF4-FFF2-40B4-BE49-F238E27FC236}">
              <a16:creationId xmlns:a16="http://schemas.microsoft.com/office/drawing/2014/main" id="{00000000-0008-0000-0000-0000C2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03" name="TextBox 5602">
          <a:extLst>
            <a:ext uri="{FF2B5EF4-FFF2-40B4-BE49-F238E27FC236}">
              <a16:creationId xmlns:a16="http://schemas.microsoft.com/office/drawing/2014/main" id="{00000000-0008-0000-0000-0000C3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04" name="TextBox 5603">
          <a:extLst>
            <a:ext uri="{FF2B5EF4-FFF2-40B4-BE49-F238E27FC236}">
              <a16:creationId xmlns:a16="http://schemas.microsoft.com/office/drawing/2014/main" id="{00000000-0008-0000-0000-0000C4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05" name="TextBox 5604">
          <a:extLst>
            <a:ext uri="{FF2B5EF4-FFF2-40B4-BE49-F238E27FC236}">
              <a16:creationId xmlns:a16="http://schemas.microsoft.com/office/drawing/2014/main" id="{00000000-0008-0000-0000-0000C5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06" name="TextBox 5605">
          <a:extLst>
            <a:ext uri="{FF2B5EF4-FFF2-40B4-BE49-F238E27FC236}">
              <a16:creationId xmlns:a16="http://schemas.microsoft.com/office/drawing/2014/main" id="{00000000-0008-0000-0000-0000C6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07" name="TextBox 5606">
          <a:extLst>
            <a:ext uri="{FF2B5EF4-FFF2-40B4-BE49-F238E27FC236}">
              <a16:creationId xmlns:a16="http://schemas.microsoft.com/office/drawing/2014/main" id="{00000000-0008-0000-0000-0000C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08" name="TextBox 5607">
          <a:extLst>
            <a:ext uri="{FF2B5EF4-FFF2-40B4-BE49-F238E27FC236}">
              <a16:creationId xmlns:a16="http://schemas.microsoft.com/office/drawing/2014/main" id="{00000000-0008-0000-0000-0000C8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09" name="TextBox 5608">
          <a:extLst>
            <a:ext uri="{FF2B5EF4-FFF2-40B4-BE49-F238E27FC236}">
              <a16:creationId xmlns:a16="http://schemas.microsoft.com/office/drawing/2014/main" id="{00000000-0008-0000-0000-0000C9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10" name="TextBox 5609">
          <a:extLst>
            <a:ext uri="{FF2B5EF4-FFF2-40B4-BE49-F238E27FC236}">
              <a16:creationId xmlns:a16="http://schemas.microsoft.com/office/drawing/2014/main" id="{00000000-0008-0000-0000-0000CA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11" name="TextBox 5610">
          <a:extLst>
            <a:ext uri="{FF2B5EF4-FFF2-40B4-BE49-F238E27FC236}">
              <a16:creationId xmlns:a16="http://schemas.microsoft.com/office/drawing/2014/main" id="{00000000-0008-0000-0000-0000CB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12" name="TextBox 5611">
          <a:extLst>
            <a:ext uri="{FF2B5EF4-FFF2-40B4-BE49-F238E27FC236}">
              <a16:creationId xmlns:a16="http://schemas.microsoft.com/office/drawing/2014/main" id="{00000000-0008-0000-0000-0000CC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13" name="TextBox 5612">
          <a:extLst>
            <a:ext uri="{FF2B5EF4-FFF2-40B4-BE49-F238E27FC236}">
              <a16:creationId xmlns:a16="http://schemas.microsoft.com/office/drawing/2014/main" id="{00000000-0008-0000-0000-0000CD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14" name="TextBox 5613">
          <a:extLst>
            <a:ext uri="{FF2B5EF4-FFF2-40B4-BE49-F238E27FC236}">
              <a16:creationId xmlns:a16="http://schemas.microsoft.com/office/drawing/2014/main" id="{00000000-0008-0000-0000-0000CE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15" name="TextBox 5614">
          <a:extLst>
            <a:ext uri="{FF2B5EF4-FFF2-40B4-BE49-F238E27FC236}">
              <a16:creationId xmlns:a16="http://schemas.microsoft.com/office/drawing/2014/main" id="{00000000-0008-0000-0000-0000CF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16" name="TextBox 5615">
          <a:extLst>
            <a:ext uri="{FF2B5EF4-FFF2-40B4-BE49-F238E27FC236}">
              <a16:creationId xmlns:a16="http://schemas.microsoft.com/office/drawing/2014/main" id="{00000000-0008-0000-0000-0000D0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17" name="TextBox 5616">
          <a:extLst>
            <a:ext uri="{FF2B5EF4-FFF2-40B4-BE49-F238E27FC236}">
              <a16:creationId xmlns:a16="http://schemas.microsoft.com/office/drawing/2014/main" id="{00000000-0008-0000-0000-0000D1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18" name="TextBox 5617">
          <a:extLst>
            <a:ext uri="{FF2B5EF4-FFF2-40B4-BE49-F238E27FC236}">
              <a16:creationId xmlns:a16="http://schemas.microsoft.com/office/drawing/2014/main" id="{00000000-0008-0000-0000-0000D2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19" name="TextBox 5618">
          <a:extLst>
            <a:ext uri="{FF2B5EF4-FFF2-40B4-BE49-F238E27FC236}">
              <a16:creationId xmlns:a16="http://schemas.microsoft.com/office/drawing/2014/main" id="{00000000-0008-0000-0000-0000D3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20" name="TextBox 5619">
          <a:extLst>
            <a:ext uri="{FF2B5EF4-FFF2-40B4-BE49-F238E27FC236}">
              <a16:creationId xmlns:a16="http://schemas.microsoft.com/office/drawing/2014/main" id="{00000000-0008-0000-0000-0000D4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21" name="TextBox 5620">
          <a:extLst>
            <a:ext uri="{FF2B5EF4-FFF2-40B4-BE49-F238E27FC236}">
              <a16:creationId xmlns:a16="http://schemas.microsoft.com/office/drawing/2014/main" id="{00000000-0008-0000-0000-0000D5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22" name="TextBox 5621">
          <a:extLst>
            <a:ext uri="{FF2B5EF4-FFF2-40B4-BE49-F238E27FC236}">
              <a16:creationId xmlns:a16="http://schemas.microsoft.com/office/drawing/2014/main" id="{00000000-0008-0000-0000-0000D6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23" name="TextBox 5622">
          <a:extLst>
            <a:ext uri="{FF2B5EF4-FFF2-40B4-BE49-F238E27FC236}">
              <a16:creationId xmlns:a16="http://schemas.microsoft.com/office/drawing/2014/main" id="{00000000-0008-0000-0000-0000D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24" name="TextBox 5623">
          <a:extLst>
            <a:ext uri="{FF2B5EF4-FFF2-40B4-BE49-F238E27FC236}">
              <a16:creationId xmlns:a16="http://schemas.microsoft.com/office/drawing/2014/main" id="{00000000-0008-0000-0000-0000D8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25" name="TextBox 5624">
          <a:extLst>
            <a:ext uri="{FF2B5EF4-FFF2-40B4-BE49-F238E27FC236}">
              <a16:creationId xmlns:a16="http://schemas.microsoft.com/office/drawing/2014/main" id="{00000000-0008-0000-0000-0000D9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26" name="TextBox 5625">
          <a:extLst>
            <a:ext uri="{FF2B5EF4-FFF2-40B4-BE49-F238E27FC236}">
              <a16:creationId xmlns:a16="http://schemas.microsoft.com/office/drawing/2014/main" id="{00000000-0008-0000-0000-0000DA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27" name="TextBox 5626">
          <a:extLst>
            <a:ext uri="{FF2B5EF4-FFF2-40B4-BE49-F238E27FC236}">
              <a16:creationId xmlns:a16="http://schemas.microsoft.com/office/drawing/2014/main" id="{00000000-0008-0000-0000-0000DB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28" name="TextBox 5627">
          <a:extLst>
            <a:ext uri="{FF2B5EF4-FFF2-40B4-BE49-F238E27FC236}">
              <a16:creationId xmlns:a16="http://schemas.microsoft.com/office/drawing/2014/main" id="{00000000-0008-0000-0000-0000DC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29" name="TextBox 5628">
          <a:extLst>
            <a:ext uri="{FF2B5EF4-FFF2-40B4-BE49-F238E27FC236}">
              <a16:creationId xmlns:a16="http://schemas.microsoft.com/office/drawing/2014/main" id="{00000000-0008-0000-0000-0000DD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30" name="TextBox 5629">
          <a:extLst>
            <a:ext uri="{FF2B5EF4-FFF2-40B4-BE49-F238E27FC236}">
              <a16:creationId xmlns:a16="http://schemas.microsoft.com/office/drawing/2014/main" id="{00000000-0008-0000-0000-0000DE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31" name="TextBox 5630">
          <a:extLst>
            <a:ext uri="{FF2B5EF4-FFF2-40B4-BE49-F238E27FC236}">
              <a16:creationId xmlns:a16="http://schemas.microsoft.com/office/drawing/2014/main" id="{00000000-0008-0000-0000-0000DF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32" name="TextBox 5631">
          <a:extLst>
            <a:ext uri="{FF2B5EF4-FFF2-40B4-BE49-F238E27FC236}">
              <a16:creationId xmlns:a16="http://schemas.microsoft.com/office/drawing/2014/main" id="{00000000-0008-0000-0000-0000E0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33" name="TextBox 5632">
          <a:extLst>
            <a:ext uri="{FF2B5EF4-FFF2-40B4-BE49-F238E27FC236}">
              <a16:creationId xmlns:a16="http://schemas.microsoft.com/office/drawing/2014/main" id="{00000000-0008-0000-0000-0000E1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34" name="TextBox 5633">
          <a:extLst>
            <a:ext uri="{FF2B5EF4-FFF2-40B4-BE49-F238E27FC236}">
              <a16:creationId xmlns:a16="http://schemas.microsoft.com/office/drawing/2014/main" id="{00000000-0008-0000-0000-0000E2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35" name="TextBox 5634">
          <a:extLst>
            <a:ext uri="{FF2B5EF4-FFF2-40B4-BE49-F238E27FC236}">
              <a16:creationId xmlns:a16="http://schemas.microsoft.com/office/drawing/2014/main" id="{00000000-0008-0000-0000-0000E3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36" name="TextBox 5635">
          <a:extLst>
            <a:ext uri="{FF2B5EF4-FFF2-40B4-BE49-F238E27FC236}">
              <a16:creationId xmlns:a16="http://schemas.microsoft.com/office/drawing/2014/main" id="{00000000-0008-0000-0000-0000E4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37" name="TextBox 5636">
          <a:extLst>
            <a:ext uri="{FF2B5EF4-FFF2-40B4-BE49-F238E27FC236}">
              <a16:creationId xmlns:a16="http://schemas.microsoft.com/office/drawing/2014/main" id="{00000000-0008-0000-0000-0000E5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38" name="TextBox 5637">
          <a:extLst>
            <a:ext uri="{FF2B5EF4-FFF2-40B4-BE49-F238E27FC236}">
              <a16:creationId xmlns:a16="http://schemas.microsoft.com/office/drawing/2014/main" id="{00000000-0008-0000-0000-0000E6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39" name="TextBox 5638">
          <a:extLst>
            <a:ext uri="{FF2B5EF4-FFF2-40B4-BE49-F238E27FC236}">
              <a16:creationId xmlns:a16="http://schemas.microsoft.com/office/drawing/2014/main" id="{00000000-0008-0000-0000-0000E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40" name="TextBox 5639">
          <a:extLst>
            <a:ext uri="{FF2B5EF4-FFF2-40B4-BE49-F238E27FC236}">
              <a16:creationId xmlns:a16="http://schemas.microsoft.com/office/drawing/2014/main" id="{00000000-0008-0000-0000-0000E8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41" name="TextBox 5640">
          <a:extLst>
            <a:ext uri="{FF2B5EF4-FFF2-40B4-BE49-F238E27FC236}">
              <a16:creationId xmlns:a16="http://schemas.microsoft.com/office/drawing/2014/main" id="{00000000-0008-0000-0000-0000E9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42" name="TextBox 5641">
          <a:extLst>
            <a:ext uri="{FF2B5EF4-FFF2-40B4-BE49-F238E27FC236}">
              <a16:creationId xmlns:a16="http://schemas.microsoft.com/office/drawing/2014/main" id="{00000000-0008-0000-0000-0000EA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43" name="TextBox 5642">
          <a:extLst>
            <a:ext uri="{FF2B5EF4-FFF2-40B4-BE49-F238E27FC236}">
              <a16:creationId xmlns:a16="http://schemas.microsoft.com/office/drawing/2014/main" id="{00000000-0008-0000-0000-0000EB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44" name="TextBox 5643">
          <a:extLst>
            <a:ext uri="{FF2B5EF4-FFF2-40B4-BE49-F238E27FC236}">
              <a16:creationId xmlns:a16="http://schemas.microsoft.com/office/drawing/2014/main" id="{00000000-0008-0000-0000-0000EC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45" name="TextBox 5644">
          <a:extLst>
            <a:ext uri="{FF2B5EF4-FFF2-40B4-BE49-F238E27FC236}">
              <a16:creationId xmlns:a16="http://schemas.microsoft.com/office/drawing/2014/main" id="{00000000-0008-0000-0000-0000ED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46" name="TextBox 5645">
          <a:extLst>
            <a:ext uri="{FF2B5EF4-FFF2-40B4-BE49-F238E27FC236}">
              <a16:creationId xmlns:a16="http://schemas.microsoft.com/office/drawing/2014/main" id="{00000000-0008-0000-0000-0000EE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647" name="TextBox 5646">
          <a:extLst>
            <a:ext uri="{FF2B5EF4-FFF2-40B4-BE49-F238E27FC236}">
              <a16:creationId xmlns:a16="http://schemas.microsoft.com/office/drawing/2014/main" id="{00000000-0008-0000-0000-0000EF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48" name="TextBox 5647">
          <a:extLst>
            <a:ext uri="{FF2B5EF4-FFF2-40B4-BE49-F238E27FC236}">
              <a16:creationId xmlns:a16="http://schemas.microsoft.com/office/drawing/2014/main" id="{00000000-0008-0000-0000-0000F0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49" name="TextBox 5648">
          <a:extLst>
            <a:ext uri="{FF2B5EF4-FFF2-40B4-BE49-F238E27FC236}">
              <a16:creationId xmlns:a16="http://schemas.microsoft.com/office/drawing/2014/main" id="{00000000-0008-0000-0000-0000F1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50" name="TextBox 5649">
          <a:extLst>
            <a:ext uri="{FF2B5EF4-FFF2-40B4-BE49-F238E27FC236}">
              <a16:creationId xmlns:a16="http://schemas.microsoft.com/office/drawing/2014/main" id="{00000000-0008-0000-0000-0000F2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51" name="TextBox 5650">
          <a:extLst>
            <a:ext uri="{FF2B5EF4-FFF2-40B4-BE49-F238E27FC236}">
              <a16:creationId xmlns:a16="http://schemas.microsoft.com/office/drawing/2014/main" id="{00000000-0008-0000-0000-0000F3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52" name="TextBox 5651">
          <a:extLst>
            <a:ext uri="{FF2B5EF4-FFF2-40B4-BE49-F238E27FC236}">
              <a16:creationId xmlns:a16="http://schemas.microsoft.com/office/drawing/2014/main" id="{00000000-0008-0000-0000-0000F4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53" name="TextBox 5652">
          <a:extLst>
            <a:ext uri="{FF2B5EF4-FFF2-40B4-BE49-F238E27FC236}">
              <a16:creationId xmlns:a16="http://schemas.microsoft.com/office/drawing/2014/main" id="{00000000-0008-0000-0000-0000F5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54" name="TextBox 5653">
          <a:extLst>
            <a:ext uri="{FF2B5EF4-FFF2-40B4-BE49-F238E27FC236}">
              <a16:creationId xmlns:a16="http://schemas.microsoft.com/office/drawing/2014/main" id="{00000000-0008-0000-0000-0000F6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55" name="TextBox 5654">
          <a:extLst>
            <a:ext uri="{FF2B5EF4-FFF2-40B4-BE49-F238E27FC236}">
              <a16:creationId xmlns:a16="http://schemas.microsoft.com/office/drawing/2014/main" id="{00000000-0008-0000-0000-0000F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56" name="TextBox 5655">
          <a:extLst>
            <a:ext uri="{FF2B5EF4-FFF2-40B4-BE49-F238E27FC236}">
              <a16:creationId xmlns:a16="http://schemas.microsoft.com/office/drawing/2014/main" id="{00000000-0008-0000-0000-0000F8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57" name="TextBox 5656">
          <a:extLst>
            <a:ext uri="{FF2B5EF4-FFF2-40B4-BE49-F238E27FC236}">
              <a16:creationId xmlns:a16="http://schemas.microsoft.com/office/drawing/2014/main" id="{00000000-0008-0000-0000-0000F9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58" name="TextBox 5657">
          <a:extLst>
            <a:ext uri="{FF2B5EF4-FFF2-40B4-BE49-F238E27FC236}">
              <a16:creationId xmlns:a16="http://schemas.microsoft.com/office/drawing/2014/main" id="{00000000-0008-0000-0000-0000FA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59" name="TextBox 5658">
          <a:extLst>
            <a:ext uri="{FF2B5EF4-FFF2-40B4-BE49-F238E27FC236}">
              <a16:creationId xmlns:a16="http://schemas.microsoft.com/office/drawing/2014/main" id="{00000000-0008-0000-0000-0000FB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60" name="TextBox 5659">
          <a:extLst>
            <a:ext uri="{FF2B5EF4-FFF2-40B4-BE49-F238E27FC236}">
              <a16:creationId xmlns:a16="http://schemas.microsoft.com/office/drawing/2014/main" id="{00000000-0008-0000-0000-0000FC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61" name="TextBox 5660">
          <a:extLst>
            <a:ext uri="{FF2B5EF4-FFF2-40B4-BE49-F238E27FC236}">
              <a16:creationId xmlns:a16="http://schemas.microsoft.com/office/drawing/2014/main" id="{00000000-0008-0000-0000-0000FD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62" name="TextBox 5661">
          <a:extLst>
            <a:ext uri="{FF2B5EF4-FFF2-40B4-BE49-F238E27FC236}">
              <a16:creationId xmlns:a16="http://schemas.microsoft.com/office/drawing/2014/main" id="{00000000-0008-0000-0000-0000FE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63" name="TextBox 5662">
          <a:extLst>
            <a:ext uri="{FF2B5EF4-FFF2-40B4-BE49-F238E27FC236}">
              <a16:creationId xmlns:a16="http://schemas.microsoft.com/office/drawing/2014/main" id="{00000000-0008-0000-0000-0000FF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64" name="TextBox 5663">
          <a:extLst>
            <a:ext uri="{FF2B5EF4-FFF2-40B4-BE49-F238E27FC236}">
              <a16:creationId xmlns:a16="http://schemas.microsoft.com/office/drawing/2014/main" id="{00000000-0008-0000-0000-000000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65" name="TextBox 5664">
          <a:extLst>
            <a:ext uri="{FF2B5EF4-FFF2-40B4-BE49-F238E27FC236}">
              <a16:creationId xmlns:a16="http://schemas.microsoft.com/office/drawing/2014/main" id="{00000000-0008-0000-0000-000001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66" name="TextBox 5665">
          <a:extLst>
            <a:ext uri="{FF2B5EF4-FFF2-40B4-BE49-F238E27FC236}">
              <a16:creationId xmlns:a16="http://schemas.microsoft.com/office/drawing/2014/main" id="{00000000-0008-0000-0000-000002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67" name="TextBox 5666">
          <a:extLst>
            <a:ext uri="{FF2B5EF4-FFF2-40B4-BE49-F238E27FC236}">
              <a16:creationId xmlns:a16="http://schemas.microsoft.com/office/drawing/2014/main" id="{00000000-0008-0000-0000-000003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68" name="TextBox 5667">
          <a:extLst>
            <a:ext uri="{FF2B5EF4-FFF2-40B4-BE49-F238E27FC236}">
              <a16:creationId xmlns:a16="http://schemas.microsoft.com/office/drawing/2014/main" id="{00000000-0008-0000-0000-000004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69" name="TextBox 5668">
          <a:extLst>
            <a:ext uri="{FF2B5EF4-FFF2-40B4-BE49-F238E27FC236}">
              <a16:creationId xmlns:a16="http://schemas.microsoft.com/office/drawing/2014/main" id="{00000000-0008-0000-0000-000005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70" name="TextBox 5669">
          <a:extLst>
            <a:ext uri="{FF2B5EF4-FFF2-40B4-BE49-F238E27FC236}">
              <a16:creationId xmlns:a16="http://schemas.microsoft.com/office/drawing/2014/main" id="{00000000-0008-0000-0000-000006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71" name="TextBox 5670">
          <a:extLst>
            <a:ext uri="{FF2B5EF4-FFF2-40B4-BE49-F238E27FC236}">
              <a16:creationId xmlns:a16="http://schemas.microsoft.com/office/drawing/2014/main" id="{00000000-0008-0000-0000-000007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72" name="TextBox 5671">
          <a:extLst>
            <a:ext uri="{FF2B5EF4-FFF2-40B4-BE49-F238E27FC236}">
              <a16:creationId xmlns:a16="http://schemas.microsoft.com/office/drawing/2014/main" id="{00000000-0008-0000-0000-000008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73" name="TextBox 5672">
          <a:extLst>
            <a:ext uri="{FF2B5EF4-FFF2-40B4-BE49-F238E27FC236}">
              <a16:creationId xmlns:a16="http://schemas.microsoft.com/office/drawing/2014/main" id="{00000000-0008-0000-0000-000009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74" name="TextBox 5673">
          <a:extLst>
            <a:ext uri="{FF2B5EF4-FFF2-40B4-BE49-F238E27FC236}">
              <a16:creationId xmlns:a16="http://schemas.microsoft.com/office/drawing/2014/main" id="{00000000-0008-0000-0000-00000A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75" name="TextBox 5674">
          <a:extLst>
            <a:ext uri="{FF2B5EF4-FFF2-40B4-BE49-F238E27FC236}">
              <a16:creationId xmlns:a16="http://schemas.microsoft.com/office/drawing/2014/main" id="{00000000-0008-0000-0000-00000B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76" name="TextBox 5675">
          <a:extLst>
            <a:ext uri="{FF2B5EF4-FFF2-40B4-BE49-F238E27FC236}">
              <a16:creationId xmlns:a16="http://schemas.microsoft.com/office/drawing/2014/main" id="{00000000-0008-0000-0000-00000C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77" name="TextBox 5676">
          <a:extLst>
            <a:ext uri="{FF2B5EF4-FFF2-40B4-BE49-F238E27FC236}">
              <a16:creationId xmlns:a16="http://schemas.microsoft.com/office/drawing/2014/main" id="{00000000-0008-0000-0000-00000D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78" name="TextBox 5677">
          <a:extLst>
            <a:ext uri="{FF2B5EF4-FFF2-40B4-BE49-F238E27FC236}">
              <a16:creationId xmlns:a16="http://schemas.microsoft.com/office/drawing/2014/main" id="{00000000-0008-0000-0000-00000E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79" name="TextBox 5678">
          <a:extLst>
            <a:ext uri="{FF2B5EF4-FFF2-40B4-BE49-F238E27FC236}">
              <a16:creationId xmlns:a16="http://schemas.microsoft.com/office/drawing/2014/main" id="{00000000-0008-0000-0000-00000F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80" name="TextBox 5679">
          <a:extLst>
            <a:ext uri="{FF2B5EF4-FFF2-40B4-BE49-F238E27FC236}">
              <a16:creationId xmlns:a16="http://schemas.microsoft.com/office/drawing/2014/main" id="{00000000-0008-0000-0000-000010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81" name="TextBox 5680">
          <a:extLst>
            <a:ext uri="{FF2B5EF4-FFF2-40B4-BE49-F238E27FC236}">
              <a16:creationId xmlns:a16="http://schemas.microsoft.com/office/drawing/2014/main" id="{00000000-0008-0000-0000-000011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82" name="TextBox 5681">
          <a:extLst>
            <a:ext uri="{FF2B5EF4-FFF2-40B4-BE49-F238E27FC236}">
              <a16:creationId xmlns:a16="http://schemas.microsoft.com/office/drawing/2014/main" id="{00000000-0008-0000-0000-000012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83" name="TextBox 5682">
          <a:extLst>
            <a:ext uri="{FF2B5EF4-FFF2-40B4-BE49-F238E27FC236}">
              <a16:creationId xmlns:a16="http://schemas.microsoft.com/office/drawing/2014/main" id="{00000000-0008-0000-0000-000013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84" name="TextBox 5683">
          <a:extLst>
            <a:ext uri="{FF2B5EF4-FFF2-40B4-BE49-F238E27FC236}">
              <a16:creationId xmlns:a16="http://schemas.microsoft.com/office/drawing/2014/main" id="{00000000-0008-0000-0000-000014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85" name="TextBox 5684">
          <a:extLst>
            <a:ext uri="{FF2B5EF4-FFF2-40B4-BE49-F238E27FC236}">
              <a16:creationId xmlns:a16="http://schemas.microsoft.com/office/drawing/2014/main" id="{00000000-0008-0000-0000-000015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86" name="TextBox 5685">
          <a:extLst>
            <a:ext uri="{FF2B5EF4-FFF2-40B4-BE49-F238E27FC236}">
              <a16:creationId xmlns:a16="http://schemas.microsoft.com/office/drawing/2014/main" id="{00000000-0008-0000-0000-000016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87" name="TextBox 5686">
          <a:extLst>
            <a:ext uri="{FF2B5EF4-FFF2-40B4-BE49-F238E27FC236}">
              <a16:creationId xmlns:a16="http://schemas.microsoft.com/office/drawing/2014/main" id="{00000000-0008-0000-0000-000017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88" name="TextBox 5687">
          <a:extLst>
            <a:ext uri="{FF2B5EF4-FFF2-40B4-BE49-F238E27FC236}">
              <a16:creationId xmlns:a16="http://schemas.microsoft.com/office/drawing/2014/main" id="{00000000-0008-0000-0000-000018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89" name="TextBox 5688">
          <a:extLst>
            <a:ext uri="{FF2B5EF4-FFF2-40B4-BE49-F238E27FC236}">
              <a16:creationId xmlns:a16="http://schemas.microsoft.com/office/drawing/2014/main" id="{00000000-0008-0000-0000-000019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90" name="TextBox 5689">
          <a:extLst>
            <a:ext uri="{FF2B5EF4-FFF2-40B4-BE49-F238E27FC236}">
              <a16:creationId xmlns:a16="http://schemas.microsoft.com/office/drawing/2014/main" id="{00000000-0008-0000-0000-00001A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91" name="TextBox 5690">
          <a:extLst>
            <a:ext uri="{FF2B5EF4-FFF2-40B4-BE49-F238E27FC236}">
              <a16:creationId xmlns:a16="http://schemas.microsoft.com/office/drawing/2014/main" id="{00000000-0008-0000-0000-00001B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92" name="TextBox 5691">
          <a:extLst>
            <a:ext uri="{FF2B5EF4-FFF2-40B4-BE49-F238E27FC236}">
              <a16:creationId xmlns:a16="http://schemas.microsoft.com/office/drawing/2014/main" id="{00000000-0008-0000-0000-00001C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93" name="TextBox 5692">
          <a:extLst>
            <a:ext uri="{FF2B5EF4-FFF2-40B4-BE49-F238E27FC236}">
              <a16:creationId xmlns:a16="http://schemas.microsoft.com/office/drawing/2014/main" id="{00000000-0008-0000-0000-00001D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94" name="TextBox 5693">
          <a:extLst>
            <a:ext uri="{FF2B5EF4-FFF2-40B4-BE49-F238E27FC236}">
              <a16:creationId xmlns:a16="http://schemas.microsoft.com/office/drawing/2014/main" id="{00000000-0008-0000-0000-00001E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95" name="TextBox 5694">
          <a:extLst>
            <a:ext uri="{FF2B5EF4-FFF2-40B4-BE49-F238E27FC236}">
              <a16:creationId xmlns:a16="http://schemas.microsoft.com/office/drawing/2014/main" id="{00000000-0008-0000-0000-00001F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96" name="TextBox 5695">
          <a:extLst>
            <a:ext uri="{FF2B5EF4-FFF2-40B4-BE49-F238E27FC236}">
              <a16:creationId xmlns:a16="http://schemas.microsoft.com/office/drawing/2014/main" id="{00000000-0008-0000-0000-000020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97" name="TextBox 5696">
          <a:extLst>
            <a:ext uri="{FF2B5EF4-FFF2-40B4-BE49-F238E27FC236}">
              <a16:creationId xmlns:a16="http://schemas.microsoft.com/office/drawing/2014/main" id="{00000000-0008-0000-0000-000021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98" name="TextBox 5697">
          <a:extLst>
            <a:ext uri="{FF2B5EF4-FFF2-40B4-BE49-F238E27FC236}">
              <a16:creationId xmlns:a16="http://schemas.microsoft.com/office/drawing/2014/main" id="{00000000-0008-0000-0000-000022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699" name="TextBox 5698">
          <a:extLst>
            <a:ext uri="{FF2B5EF4-FFF2-40B4-BE49-F238E27FC236}">
              <a16:creationId xmlns:a16="http://schemas.microsoft.com/office/drawing/2014/main" id="{00000000-0008-0000-0000-000023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700" name="TextBox 5699">
          <a:extLst>
            <a:ext uri="{FF2B5EF4-FFF2-40B4-BE49-F238E27FC236}">
              <a16:creationId xmlns:a16="http://schemas.microsoft.com/office/drawing/2014/main" id="{00000000-0008-0000-0000-000024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701" name="TextBox 5700">
          <a:extLst>
            <a:ext uri="{FF2B5EF4-FFF2-40B4-BE49-F238E27FC236}">
              <a16:creationId xmlns:a16="http://schemas.microsoft.com/office/drawing/2014/main" id="{00000000-0008-0000-0000-000025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702" name="TextBox 5701">
          <a:extLst>
            <a:ext uri="{FF2B5EF4-FFF2-40B4-BE49-F238E27FC236}">
              <a16:creationId xmlns:a16="http://schemas.microsoft.com/office/drawing/2014/main" id="{00000000-0008-0000-0000-000026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703" name="TextBox 5702">
          <a:extLst>
            <a:ext uri="{FF2B5EF4-FFF2-40B4-BE49-F238E27FC236}">
              <a16:creationId xmlns:a16="http://schemas.microsoft.com/office/drawing/2014/main" id="{00000000-0008-0000-0000-000027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704" name="TextBox 5703">
          <a:extLst>
            <a:ext uri="{FF2B5EF4-FFF2-40B4-BE49-F238E27FC236}">
              <a16:creationId xmlns:a16="http://schemas.microsoft.com/office/drawing/2014/main" id="{00000000-0008-0000-0000-000028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705" name="TextBox 5704">
          <a:extLst>
            <a:ext uri="{FF2B5EF4-FFF2-40B4-BE49-F238E27FC236}">
              <a16:creationId xmlns:a16="http://schemas.microsoft.com/office/drawing/2014/main" id="{00000000-0008-0000-0000-000029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706" name="TextBox 5705">
          <a:extLst>
            <a:ext uri="{FF2B5EF4-FFF2-40B4-BE49-F238E27FC236}">
              <a16:creationId xmlns:a16="http://schemas.microsoft.com/office/drawing/2014/main" id="{00000000-0008-0000-0000-00002A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707" name="TextBox 5706">
          <a:extLst>
            <a:ext uri="{FF2B5EF4-FFF2-40B4-BE49-F238E27FC236}">
              <a16:creationId xmlns:a16="http://schemas.microsoft.com/office/drawing/2014/main" id="{00000000-0008-0000-0000-00002B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708" name="TextBox 5707">
          <a:extLst>
            <a:ext uri="{FF2B5EF4-FFF2-40B4-BE49-F238E27FC236}">
              <a16:creationId xmlns:a16="http://schemas.microsoft.com/office/drawing/2014/main" id="{00000000-0008-0000-0000-00002C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709" name="TextBox 5708">
          <a:extLst>
            <a:ext uri="{FF2B5EF4-FFF2-40B4-BE49-F238E27FC236}">
              <a16:creationId xmlns:a16="http://schemas.microsoft.com/office/drawing/2014/main" id="{00000000-0008-0000-0000-00002D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10" name="TextBox 5709">
          <a:extLst>
            <a:ext uri="{FF2B5EF4-FFF2-40B4-BE49-F238E27FC236}">
              <a16:creationId xmlns:a16="http://schemas.microsoft.com/office/drawing/2014/main" id="{00000000-0008-0000-0000-00002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11" name="TextBox 5710">
          <a:extLst>
            <a:ext uri="{FF2B5EF4-FFF2-40B4-BE49-F238E27FC236}">
              <a16:creationId xmlns:a16="http://schemas.microsoft.com/office/drawing/2014/main" id="{00000000-0008-0000-0000-00002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12" name="TextBox 5711">
          <a:extLst>
            <a:ext uri="{FF2B5EF4-FFF2-40B4-BE49-F238E27FC236}">
              <a16:creationId xmlns:a16="http://schemas.microsoft.com/office/drawing/2014/main" id="{00000000-0008-0000-0000-00003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13" name="TextBox 5712">
          <a:extLst>
            <a:ext uri="{FF2B5EF4-FFF2-40B4-BE49-F238E27FC236}">
              <a16:creationId xmlns:a16="http://schemas.microsoft.com/office/drawing/2014/main" id="{00000000-0008-0000-0000-00003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14" name="TextBox 5713">
          <a:extLst>
            <a:ext uri="{FF2B5EF4-FFF2-40B4-BE49-F238E27FC236}">
              <a16:creationId xmlns:a16="http://schemas.microsoft.com/office/drawing/2014/main" id="{00000000-0008-0000-0000-00003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15" name="TextBox 5714">
          <a:extLst>
            <a:ext uri="{FF2B5EF4-FFF2-40B4-BE49-F238E27FC236}">
              <a16:creationId xmlns:a16="http://schemas.microsoft.com/office/drawing/2014/main" id="{00000000-0008-0000-0000-00003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16" name="TextBox 5715">
          <a:extLst>
            <a:ext uri="{FF2B5EF4-FFF2-40B4-BE49-F238E27FC236}">
              <a16:creationId xmlns:a16="http://schemas.microsoft.com/office/drawing/2014/main" id="{00000000-0008-0000-0000-00003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17" name="TextBox 5716">
          <a:extLst>
            <a:ext uri="{FF2B5EF4-FFF2-40B4-BE49-F238E27FC236}">
              <a16:creationId xmlns:a16="http://schemas.microsoft.com/office/drawing/2014/main" id="{00000000-0008-0000-0000-00003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18" name="TextBox 5717">
          <a:extLst>
            <a:ext uri="{FF2B5EF4-FFF2-40B4-BE49-F238E27FC236}">
              <a16:creationId xmlns:a16="http://schemas.microsoft.com/office/drawing/2014/main" id="{00000000-0008-0000-0000-00003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19" name="TextBox 5718">
          <a:extLst>
            <a:ext uri="{FF2B5EF4-FFF2-40B4-BE49-F238E27FC236}">
              <a16:creationId xmlns:a16="http://schemas.microsoft.com/office/drawing/2014/main" id="{00000000-0008-0000-0000-00003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20" name="TextBox 5719">
          <a:extLst>
            <a:ext uri="{FF2B5EF4-FFF2-40B4-BE49-F238E27FC236}">
              <a16:creationId xmlns:a16="http://schemas.microsoft.com/office/drawing/2014/main" id="{00000000-0008-0000-0000-00003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21" name="TextBox 5720">
          <a:extLst>
            <a:ext uri="{FF2B5EF4-FFF2-40B4-BE49-F238E27FC236}">
              <a16:creationId xmlns:a16="http://schemas.microsoft.com/office/drawing/2014/main" id="{00000000-0008-0000-0000-00003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22" name="TextBox 5721">
          <a:extLst>
            <a:ext uri="{FF2B5EF4-FFF2-40B4-BE49-F238E27FC236}">
              <a16:creationId xmlns:a16="http://schemas.microsoft.com/office/drawing/2014/main" id="{00000000-0008-0000-0000-00003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23" name="TextBox 5722">
          <a:extLst>
            <a:ext uri="{FF2B5EF4-FFF2-40B4-BE49-F238E27FC236}">
              <a16:creationId xmlns:a16="http://schemas.microsoft.com/office/drawing/2014/main" id="{00000000-0008-0000-0000-00003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24" name="TextBox 5723">
          <a:extLst>
            <a:ext uri="{FF2B5EF4-FFF2-40B4-BE49-F238E27FC236}">
              <a16:creationId xmlns:a16="http://schemas.microsoft.com/office/drawing/2014/main" id="{00000000-0008-0000-0000-00003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25" name="TextBox 5724">
          <a:extLst>
            <a:ext uri="{FF2B5EF4-FFF2-40B4-BE49-F238E27FC236}">
              <a16:creationId xmlns:a16="http://schemas.microsoft.com/office/drawing/2014/main" id="{00000000-0008-0000-0000-00003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26" name="TextBox 5725">
          <a:extLst>
            <a:ext uri="{FF2B5EF4-FFF2-40B4-BE49-F238E27FC236}">
              <a16:creationId xmlns:a16="http://schemas.microsoft.com/office/drawing/2014/main" id="{00000000-0008-0000-0000-00003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27" name="TextBox 5726">
          <a:extLst>
            <a:ext uri="{FF2B5EF4-FFF2-40B4-BE49-F238E27FC236}">
              <a16:creationId xmlns:a16="http://schemas.microsoft.com/office/drawing/2014/main" id="{00000000-0008-0000-0000-00003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28" name="TextBox 5727">
          <a:extLst>
            <a:ext uri="{FF2B5EF4-FFF2-40B4-BE49-F238E27FC236}">
              <a16:creationId xmlns:a16="http://schemas.microsoft.com/office/drawing/2014/main" id="{00000000-0008-0000-0000-00004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29" name="TextBox 5728">
          <a:extLst>
            <a:ext uri="{FF2B5EF4-FFF2-40B4-BE49-F238E27FC236}">
              <a16:creationId xmlns:a16="http://schemas.microsoft.com/office/drawing/2014/main" id="{00000000-0008-0000-0000-00004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30" name="TextBox 5729">
          <a:extLst>
            <a:ext uri="{FF2B5EF4-FFF2-40B4-BE49-F238E27FC236}">
              <a16:creationId xmlns:a16="http://schemas.microsoft.com/office/drawing/2014/main" id="{00000000-0008-0000-0000-00004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31" name="TextBox 5730">
          <a:extLst>
            <a:ext uri="{FF2B5EF4-FFF2-40B4-BE49-F238E27FC236}">
              <a16:creationId xmlns:a16="http://schemas.microsoft.com/office/drawing/2014/main" id="{00000000-0008-0000-0000-00004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32" name="TextBox 5731">
          <a:extLst>
            <a:ext uri="{FF2B5EF4-FFF2-40B4-BE49-F238E27FC236}">
              <a16:creationId xmlns:a16="http://schemas.microsoft.com/office/drawing/2014/main" id="{00000000-0008-0000-0000-00004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33" name="TextBox 5732">
          <a:extLst>
            <a:ext uri="{FF2B5EF4-FFF2-40B4-BE49-F238E27FC236}">
              <a16:creationId xmlns:a16="http://schemas.microsoft.com/office/drawing/2014/main" id="{00000000-0008-0000-0000-00004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34" name="TextBox 5733">
          <a:extLst>
            <a:ext uri="{FF2B5EF4-FFF2-40B4-BE49-F238E27FC236}">
              <a16:creationId xmlns:a16="http://schemas.microsoft.com/office/drawing/2014/main" id="{00000000-0008-0000-0000-00004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35" name="TextBox 5734">
          <a:extLst>
            <a:ext uri="{FF2B5EF4-FFF2-40B4-BE49-F238E27FC236}">
              <a16:creationId xmlns:a16="http://schemas.microsoft.com/office/drawing/2014/main" id="{00000000-0008-0000-0000-00004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36" name="TextBox 5735">
          <a:extLst>
            <a:ext uri="{FF2B5EF4-FFF2-40B4-BE49-F238E27FC236}">
              <a16:creationId xmlns:a16="http://schemas.microsoft.com/office/drawing/2014/main" id="{00000000-0008-0000-0000-00004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37" name="TextBox 5736">
          <a:extLst>
            <a:ext uri="{FF2B5EF4-FFF2-40B4-BE49-F238E27FC236}">
              <a16:creationId xmlns:a16="http://schemas.microsoft.com/office/drawing/2014/main" id="{00000000-0008-0000-0000-00004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38" name="TextBox 5737">
          <a:extLst>
            <a:ext uri="{FF2B5EF4-FFF2-40B4-BE49-F238E27FC236}">
              <a16:creationId xmlns:a16="http://schemas.microsoft.com/office/drawing/2014/main" id="{00000000-0008-0000-0000-00004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39" name="TextBox 5738">
          <a:extLst>
            <a:ext uri="{FF2B5EF4-FFF2-40B4-BE49-F238E27FC236}">
              <a16:creationId xmlns:a16="http://schemas.microsoft.com/office/drawing/2014/main" id="{00000000-0008-0000-0000-00004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40" name="TextBox 5739">
          <a:extLst>
            <a:ext uri="{FF2B5EF4-FFF2-40B4-BE49-F238E27FC236}">
              <a16:creationId xmlns:a16="http://schemas.microsoft.com/office/drawing/2014/main" id="{00000000-0008-0000-0000-00004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41" name="TextBox 5740">
          <a:extLst>
            <a:ext uri="{FF2B5EF4-FFF2-40B4-BE49-F238E27FC236}">
              <a16:creationId xmlns:a16="http://schemas.microsoft.com/office/drawing/2014/main" id="{00000000-0008-0000-0000-00004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42" name="TextBox 5741">
          <a:extLst>
            <a:ext uri="{FF2B5EF4-FFF2-40B4-BE49-F238E27FC236}">
              <a16:creationId xmlns:a16="http://schemas.microsoft.com/office/drawing/2014/main" id="{00000000-0008-0000-0000-00004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43" name="TextBox 5742">
          <a:extLst>
            <a:ext uri="{FF2B5EF4-FFF2-40B4-BE49-F238E27FC236}">
              <a16:creationId xmlns:a16="http://schemas.microsoft.com/office/drawing/2014/main" id="{00000000-0008-0000-0000-00004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44" name="TextBox 5743">
          <a:extLst>
            <a:ext uri="{FF2B5EF4-FFF2-40B4-BE49-F238E27FC236}">
              <a16:creationId xmlns:a16="http://schemas.microsoft.com/office/drawing/2014/main" id="{00000000-0008-0000-0000-00005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45" name="TextBox 5744">
          <a:extLst>
            <a:ext uri="{FF2B5EF4-FFF2-40B4-BE49-F238E27FC236}">
              <a16:creationId xmlns:a16="http://schemas.microsoft.com/office/drawing/2014/main" id="{00000000-0008-0000-0000-00005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46" name="TextBox 5745">
          <a:extLst>
            <a:ext uri="{FF2B5EF4-FFF2-40B4-BE49-F238E27FC236}">
              <a16:creationId xmlns:a16="http://schemas.microsoft.com/office/drawing/2014/main" id="{00000000-0008-0000-0000-00005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47" name="TextBox 5746">
          <a:extLst>
            <a:ext uri="{FF2B5EF4-FFF2-40B4-BE49-F238E27FC236}">
              <a16:creationId xmlns:a16="http://schemas.microsoft.com/office/drawing/2014/main" id="{00000000-0008-0000-0000-00005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48" name="TextBox 5747">
          <a:extLst>
            <a:ext uri="{FF2B5EF4-FFF2-40B4-BE49-F238E27FC236}">
              <a16:creationId xmlns:a16="http://schemas.microsoft.com/office/drawing/2014/main" id="{00000000-0008-0000-0000-00005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49" name="TextBox 5748">
          <a:extLst>
            <a:ext uri="{FF2B5EF4-FFF2-40B4-BE49-F238E27FC236}">
              <a16:creationId xmlns:a16="http://schemas.microsoft.com/office/drawing/2014/main" id="{00000000-0008-0000-0000-00005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50" name="TextBox 5749">
          <a:extLst>
            <a:ext uri="{FF2B5EF4-FFF2-40B4-BE49-F238E27FC236}">
              <a16:creationId xmlns:a16="http://schemas.microsoft.com/office/drawing/2014/main" id="{00000000-0008-0000-0000-00005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51" name="TextBox 5750">
          <a:extLst>
            <a:ext uri="{FF2B5EF4-FFF2-40B4-BE49-F238E27FC236}">
              <a16:creationId xmlns:a16="http://schemas.microsoft.com/office/drawing/2014/main" id="{00000000-0008-0000-0000-00005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52" name="TextBox 5751">
          <a:extLst>
            <a:ext uri="{FF2B5EF4-FFF2-40B4-BE49-F238E27FC236}">
              <a16:creationId xmlns:a16="http://schemas.microsoft.com/office/drawing/2014/main" id="{00000000-0008-0000-0000-00005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53" name="TextBox 5752">
          <a:extLst>
            <a:ext uri="{FF2B5EF4-FFF2-40B4-BE49-F238E27FC236}">
              <a16:creationId xmlns:a16="http://schemas.microsoft.com/office/drawing/2014/main" id="{00000000-0008-0000-0000-00005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54" name="TextBox 5753">
          <a:extLst>
            <a:ext uri="{FF2B5EF4-FFF2-40B4-BE49-F238E27FC236}">
              <a16:creationId xmlns:a16="http://schemas.microsoft.com/office/drawing/2014/main" id="{00000000-0008-0000-0000-00005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55" name="TextBox 5754">
          <a:extLst>
            <a:ext uri="{FF2B5EF4-FFF2-40B4-BE49-F238E27FC236}">
              <a16:creationId xmlns:a16="http://schemas.microsoft.com/office/drawing/2014/main" id="{00000000-0008-0000-0000-00005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56" name="TextBox 5755">
          <a:extLst>
            <a:ext uri="{FF2B5EF4-FFF2-40B4-BE49-F238E27FC236}">
              <a16:creationId xmlns:a16="http://schemas.microsoft.com/office/drawing/2014/main" id="{00000000-0008-0000-0000-00005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57" name="TextBox 5756">
          <a:extLst>
            <a:ext uri="{FF2B5EF4-FFF2-40B4-BE49-F238E27FC236}">
              <a16:creationId xmlns:a16="http://schemas.microsoft.com/office/drawing/2014/main" id="{00000000-0008-0000-0000-00005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58" name="TextBox 5757">
          <a:extLst>
            <a:ext uri="{FF2B5EF4-FFF2-40B4-BE49-F238E27FC236}">
              <a16:creationId xmlns:a16="http://schemas.microsoft.com/office/drawing/2014/main" id="{00000000-0008-0000-0000-00005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59" name="TextBox 5758">
          <a:extLst>
            <a:ext uri="{FF2B5EF4-FFF2-40B4-BE49-F238E27FC236}">
              <a16:creationId xmlns:a16="http://schemas.microsoft.com/office/drawing/2014/main" id="{00000000-0008-0000-0000-00005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60" name="TextBox 5759">
          <a:extLst>
            <a:ext uri="{FF2B5EF4-FFF2-40B4-BE49-F238E27FC236}">
              <a16:creationId xmlns:a16="http://schemas.microsoft.com/office/drawing/2014/main" id="{00000000-0008-0000-0000-00006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61" name="TextBox 5760">
          <a:extLst>
            <a:ext uri="{FF2B5EF4-FFF2-40B4-BE49-F238E27FC236}">
              <a16:creationId xmlns:a16="http://schemas.microsoft.com/office/drawing/2014/main" id="{00000000-0008-0000-0000-00006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62" name="TextBox 5761">
          <a:extLst>
            <a:ext uri="{FF2B5EF4-FFF2-40B4-BE49-F238E27FC236}">
              <a16:creationId xmlns:a16="http://schemas.microsoft.com/office/drawing/2014/main" id="{00000000-0008-0000-0000-00006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63" name="TextBox 5762">
          <a:extLst>
            <a:ext uri="{FF2B5EF4-FFF2-40B4-BE49-F238E27FC236}">
              <a16:creationId xmlns:a16="http://schemas.microsoft.com/office/drawing/2014/main" id="{00000000-0008-0000-0000-00006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64" name="TextBox 5763">
          <a:extLst>
            <a:ext uri="{FF2B5EF4-FFF2-40B4-BE49-F238E27FC236}">
              <a16:creationId xmlns:a16="http://schemas.microsoft.com/office/drawing/2014/main" id="{00000000-0008-0000-0000-00006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65" name="TextBox 5764">
          <a:extLst>
            <a:ext uri="{FF2B5EF4-FFF2-40B4-BE49-F238E27FC236}">
              <a16:creationId xmlns:a16="http://schemas.microsoft.com/office/drawing/2014/main" id="{00000000-0008-0000-0000-00006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66" name="TextBox 5765">
          <a:extLst>
            <a:ext uri="{FF2B5EF4-FFF2-40B4-BE49-F238E27FC236}">
              <a16:creationId xmlns:a16="http://schemas.microsoft.com/office/drawing/2014/main" id="{00000000-0008-0000-0000-000066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67" name="TextBox 5766">
          <a:extLst>
            <a:ext uri="{FF2B5EF4-FFF2-40B4-BE49-F238E27FC236}">
              <a16:creationId xmlns:a16="http://schemas.microsoft.com/office/drawing/2014/main" id="{00000000-0008-0000-0000-000067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68" name="TextBox 5767">
          <a:extLst>
            <a:ext uri="{FF2B5EF4-FFF2-40B4-BE49-F238E27FC236}">
              <a16:creationId xmlns:a16="http://schemas.microsoft.com/office/drawing/2014/main" id="{00000000-0008-0000-0000-000068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69" name="TextBox 5768">
          <a:extLst>
            <a:ext uri="{FF2B5EF4-FFF2-40B4-BE49-F238E27FC236}">
              <a16:creationId xmlns:a16="http://schemas.microsoft.com/office/drawing/2014/main" id="{00000000-0008-0000-0000-000069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70" name="TextBox 5769">
          <a:extLst>
            <a:ext uri="{FF2B5EF4-FFF2-40B4-BE49-F238E27FC236}">
              <a16:creationId xmlns:a16="http://schemas.microsoft.com/office/drawing/2014/main" id="{00000000-0008-0000-0000-00006A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71" name="TextBox 5770">
          <a:extLst>
            <a:ext uri="{FF2B5EF4-FFF2-40B4-BE49-F238E27FC236}">
              <a16:creationId xmlns:a16="http://schemas.microsoft.com/office/drawing/2014/main" id="{00000000-0008-0000-0000-00006B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72" name="TextBox 5771">
          <a:extLst>
            <a:ext uri="{FF2B5EF4-FFF2-40B4-BE49-F238E27FC236}">
              <a16:creationId xmlns:a16="http://schemas.microsoft.com/office/drawing/2014/main" id="{00000000-0008-0000-0000-00006C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773" name="TextBox 5772">
          <a:extLst>
            <a:ext uri="{FF2B5EF4-FFF2-40B4-BE49-F238E27FC236}">
              <a16:creationId xmlns:a16="http://schemas.microsoft.com/office/drawing/2014/main" id="{00000000-0008-0000-0000-00006D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74" name="TextBox 5773">
          <a:extLst>
            <a:ext uri="{FF2B5EF4-FFF2-40B4-BE49-F238E27FC236}">
              <a16:creationId xmlns:a16="http://schemas.microsoft.com/office/drawing/2014/main" id="{00000000-0008-0000-0000-00006E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75" name="TextBox 5774">
          <a:extLst>
            <a:ext uri="{FF2B5EF4-FFF2-40B4-BE49-F238E27FC236}">
              <a16:creationId xmlns:a16="http://schemas.microsoft.com/office/drawing/2014/main" id="{00000000-0008-0000-0000-00006F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76" name="TextBox 5775">
          <a:extLst>
            <a:ext uri="{FF2B5EF4-FFF2-40B4-BE49-F238E27FC236}">
              <a16:creationId xmlns:a16="http://schemas.microsoft.com/office/drawing/2014/main" id="{00000000-0008-0000-0000-000070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77" name="TextBox 5776">
          <a:extLst>
            <a:ext uri="{FF2B5EF4-FFF2-40B4-BE49-F238E27FC236}">
              <a16:creationId xmlns:a16="http://schemas.microsoft.com/office/drawing/2014/main" id="{00000000-0008-0000-0000-000071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78" name="TextBox 5777">
          <a:extLst>
            <a:ext uri="{FF2B5EF4-FFF2-40B4-BE49-F238E27FC236}">
              <a16:creationId xmlns:a16="http://schemas.microsoft.com/office/drawing/2014/main" id="{00000000-0008-0000-0000-000072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79" name="TextBox 5778">
          <a:extLst>
            <a:ext uri="{FF2B5EF4-FFF2-40B4-BE49-F238E27FC236}">
              <a16:creationId xmlns:a16="http://schemas.microsoft.com/office/drawing/2014/main" id="{00000000-0008-0000-0000-000073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80" name="TextBox 5779">
          <a:extLst>
            <a:ext uri="{FF2B5EF4-FFF2-40B4-BE49-F238E27FC236}">
              <a16:creationId xmlns:a16="http://schemas.microsoft.com/office/drawing/2014/main" id="{00000000-0008-0000-0000-000074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81" name="TextBox 5780">
          <a:extLst>
            <a:ext uri="{FF2B5EF4-FFF2-40B4-BE49-F238E27FC236}">
              <a16:creationId xmlns:a16="http://schemas.microsoft.com/office/drawing/2014/main" id="{00000000-0008-0000-0000-000075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82" name="TextBox 5781">
          <a:extLst>
            <a:ext uri="{FF2B5EF4-FFF2-40B4-BE49-F238E27FC236}">
              <a16:creationId xmlns:a16="http://schemas.microsoft.com/office/drawing/2014/main" id="{00000000-0008-0000-0000-000076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83" name="TextBox 5782">
          <a:extLst>
            <a:ext uri="{FF2B5EF4-FFF2-40B4-BE49-F238E27FC236}">
              <a16:creationId xmlns:a16="http://schemas.microsoft.com/office/drawing/2014/main" id="{00000000-0008-0000-0000-000077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84" name="TextBox 5783">
          <a:extLst>
            <a:ext uri="{FF2B5EF4-FFF2-40B4-BE49-F238E27FC236}">
              <a16:creationId xmlns:a16="http://schemas.microsoft.com/office/drawing/2014/main" id="{00000000-0008-0000-0000-000078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85" name="TextBox 5784">
          <a:extLst>
            <a:ext uri="{FF2B5EF4-FFF2-40B4-BE49-F238E27FC236}">
              <a16:creationId xmlns:a16="http://schemas.microsoft.com/office/drawing/2014/main" id="{00000000-0008-0000-0000-000079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86" name="TextBox 5785">
          <a:extLst>
            <a:ext uri="{FF2B5EF4-FFF2-40B4-BE49-F238E27FC236}">
              <a16:creationId xmlns:a16="http://schemas.microsoft.com/office/drawing/2014/main" id="{00000000-0008-0000-0000-00007A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87" name="TextBox 5786">
          <a:extLst>
            <a:ext uri="{FF2B5EF4-FFF2-40B4-BE49-F238E27FC236}">
              <a16:creationId xmlns:a16="http://schemas.microsoft.com/office/drawing/2014/main" id="{00000000-0008-0000-0000-00007B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88" name="TextBox 5787">
          <a:extLst>
            <a:ext uri="{FF2B5EF4-FFF2-40B4-BE49-F238E27FC236}">
              <a16:creationId xmlns:a16="http://schemas.microsoft.com/office/drawing/2014/main" id="{00000000-0008-0000-0000-00007C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89" name="TextBox 5788">
          <a:extLst>
            <a:ext uri="{FF2B5EF4-FFF2-40B4-BE49-F238E27FC236}">
              <a16:creationId xmlns:a16="http://schemas.microsoft.com/office/drawing/2014/main" id="{00000000-0008-0000-0000-00007D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90" name="TextBox 5789">
          <a:extLst>
            <a:ext uri="{FF2B5EF4-FFF2-40B4-BE49-F238E27FC236}">
              <a16:creationId xmlns:a16="http://schemas.microsoft.com/office/drawing/2014/main" id="{00000000-0008-0000-0000-00007E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91" name="TextBox 5790">
          <a:extLst>
            <a:ext uri="{FF2B5EF4-FFF2-40B4-BE49-F238E27FC236}">
              <a16:creationId xmlns:a16="http://schemas.microsoft.com/office/drawing/2014/main" id="{00000000-0008-0000-0000-00007F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92" name="TextBox 5791">
          <a:extLst>
            <a:ext uri="{FF2B5EF4-FFF2-40B4-BE49-F238E27FC236}">
              <a16:creationId xmlns:a16="http://schemas.microsoft.com/office/drawing/2014/main" id="{00000000-0008-0000-0000-000080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93" name="TextBox 5792">
          <a:extLst>
            <a:ext uri="{FF2B5EF4-FFF2-40B4-BE49-F238E27FC236}">
              <a16:creationId xmlns:a16="http://schemas.microsoft.com/office/drawing/2014/main" id="{00000000-0008-0000-0000-000081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94" name="TextBox 5793">
          <a:extLst>
            <a:ext uri="{FF2B5EF4-FFF2-40B4-BE49-F238E27FC236}">
              <a16:creationId xmlns:a16="http://schemas.microsoft.com/office/drawing/2014/main" id="{00000000-0008-0000-0000-000082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95" name="TextBox 5794">
          <a:extLst>
            <a:ext uri="{FF2B5EF4-FFF2-40B4-BE49-F238E27FC236}">
              <a16:creationId xmlns:a16="http://schemas.microsoft.com/office/drawing/2014/main" id="{00000000-0008-0000-0000-000083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96" name="TextBox 5795">
          <a:extLst>
            <a:ext uri="{FF2B5EF4-FFF2-40B4-BE49-F238E27FC236}">
              <a16:creationId xmlns:a16="http://schemas.microsoft.com/office/drawing/2014/main" id="{00000000-0008-0000-0000-000084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97" name="TextBox 5796">
          <a:extLst>
            <a:ext uri="{FF2B5EF4-FFF2-40B4-BE49-F238E27FC236}">
              <a16:creationId xmlns:a16="http://schemas.microsoft.com/office/drawing/2014/main" id="{00000000-0008-0000-0000-000085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98" name="TextBox 5797">
          <a:extLst>
            <a:ext uri="{FF2B5EF4-FFF2-40B4-BE49-F238E27FC236}">
              <a16:creationId xmlns:a16="http://schemas.microsoft.com/office/drawing/2014/main" id="{00000000-0008-0000-0000-000086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799" name="TextBox 5798">
          <a:extLst>
            <a:ext uri="{FF2B5EF4-FFF2-40B4-BE49-F238E27FC236}">
              <a16:creationId xmlns:a16="http://schemas.microsoft.com/office/drawing/2014/main" id="{00000000-0008-0000-0000-000087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00" name="TextBox 5799">
          <a:extLst>
            <a:ext uri="{FF2B5EF4-FFF2-40B4-BE49-F238E27FC236}">
              <a16:creationId xmlns:a16="http://schemas.microsoft.com/office/drawing/2014/main" id="{00000000-0008-0000-0000-000088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01" name="TextBox 5800">
          <a:extLst>
            <a:ext uri="{FF2B5EF4-FFF2-40B4-BE49-F238E27FC236}">
              <a16:creationId xmlns:a16="http://schemas.microsoft.com/office/drawing/2014/main" id="{00000000-0008-0000-0000-000089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02" name="TextBox 5801">
          <a:extLst>
            <a:ext uri="{FF2B5EF4-FFF2-40B4-BE49-F238E27FC236}">
              <a16:creationId xmlns:a16="http://schemas.microsoft.com/office/drawing/2014/main" id="{00000000-0008-0000-0000-00008A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03" name="TextBox 5802">
          <a:extLst>
            <a:ext uri="{FF2B5EF4-FFF2-40B4-BE49-F238E27FC236}">
              <a16:creationId xmlns:a16="http://schemas.microsoft.com/office/drawing/2014/main" id="{00000000-0008-0000-0000-00008B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04" name="TextBox 5803">
          <a:extLst>
            <a:ext uri="{FF2B5EF4-FFF2-40B4-BE49-F238E27FC236}">
              <a16:creationId xmlns:a16="http://schemas.microsoft.com/office/drawing/2014/main" id="{00000000-0008-0000-0000-00008C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05" name="TextBox 5804">
          <a:extLst>
            <a:ext uri="{FF2B5EF4-FFF2-40B4-BE49-F238E27FC236}">
              <a16:creationId xmlns:a16="http://schemas.microsoft.com/office/drawing/2014/main" id="{00000000-0008-0000-0000-00008D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06" name="TextBox 5805">
          <a:extLst>
            <a:ext uri="{FF2B5EF4-FFF2-40B4-BE49-F238E27FC236}">
              <a16:creationId xmlns:a16="http://schemas.microsoft.com/office/drawing/2014/main" id="{00000000-0008-0000-0000-00008E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07" name="TextBox 5806">
          <a:extLst>
            <a:ext uri="{FF2B5EF4-FFF2-40B4-BE49-F238E27FC236}">
              <a16:creationId xmlns:a16="http://schemas.microsoft.com/office/drawing/2014/main" id="{00000000-0008-0000-0000-00008F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08" name="TextBox 5807">
          <a:extLst>
            <a:ext uri="{FF2B5EF4-FFF2-40B4-BE49-F238E27FC236}">
              <a16:creationId xmlns:a16="http://schemas.microsoft.com/office/drawing/2014/main" id="{00000000-0008-0000-0000-000090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09" name="TextBox 5808">
          <a:extLst>
            <a:ext uri="{FF2B5EF4-FFF2-40B4-BE49-F238E27FC236}">
              <a16:creationId xmlns:a16="http://schemas.microsoft.com/office/drawing/2014/main" id="{00000000-0008-0000-0000-000091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10" name="TextBox 5809">
          <a:extLst>
            <a:ext uri="{FF2B5EF4-FFF2-40B4-BE49-F238E27FC236}">
              <a16:creationId xmlns:a16="http://schemas.microsoft.com/office/drawing/2014/main" id="{00000000-0008-0000-0000-000092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11" name="TextBox 5810">
          <a:extLst>
            <a:ext uri="{FF2B5EF4-FFF2-40B4-BE49-F238E27FC236}">
              <a16:creationId xmlns:a16="http://schemas.microsoft.com/office/drawing/2014/main" id="{00000000-0008-0000-0000-000093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12" name="TextBox 5811">
          <a:extLst>
            <a:ext uri="{FF2B5EF4-FFF2-40B4-BE49-F238E27FC236}">
              <a16:creationId xmlns:a16="http://schemas.microsoft.com/office/drawing/2014/main" id="{00000000-0008-0000-0000-000094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13" name="TextBox 5812">
          <a:extLst>
            <a:ext uri="{FF2B5EF4-FFF2-40B4-BE49-F238E27FC236}">
              <a16:creationId xmlns:a16="http://schemas.microsoft.com/office/drawing/2014/main" id="{00000000-0008-0000-0000-000095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14" name="TextBox 5813">
          <a:extLst>
            <a:ext uri="{FF2B5EF4-FFF2-40B4-BE49-F238E27FC236}">
              <a16:creationId xmlns:a16="http://schemas.microsoft.com/office/drawing/2014/main" id="{00000000-0008-0000-0000-000096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15" name="TextBox 5814">
          <a:extLst>
            <a:ext uri="{FF2B5EF4-FFF2-40B4-BE49-F238E27FC236}">
              <a16:creationId xmlns:a16="http://schemas.microsoft.com/office/drawing/2014/main" id="{00000000-0008-0000-0000-000097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16" name="TextBox 5815">
          <a:extLst>
            <a:ext uri="{FF2B5EF4-FFF2-40B4-BE49-F238E27FC236}">
              <a16:creationId xmlns:a16="http://schemas.microsoft.com/office/drawing/2014/main" id="{00000000-0008-0000-0000-000098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17" name="TextBox 5816">
          <a:extLst>
            <a:ext uri="{FF2B5EF4-FFF2-40B4-BE49-F238E27FC236}">
              <a16:creationId xmlns:a16="http://schemas.microsoft.com/office/drawing/2014/main" id="{00000000-0008-0000-0000-000099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18" name="TextBox 5817">
          <a:extLst>
            <a:ext uri="{FF2B5EF4-FFF2-40B4-BE49-F238E27FC236}">
              <a16:creationId xmlns:a16="http://schemas.microsoft.com/office/drawing/2014/main" id="{00000000-0008-0000-0000-00009A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19" name="TextBox 5818">
          <a:extLst>
            <a:ext uri="{FF2B5EF4-FFF2-40B4-BE49-F238E27FC236}">
              <a16:creationId xmlns:a16="http://schemas.microsoft.com/office/drawing/2014/main" id="{00000000-0008-0000-0000-00009B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20" name="TextBox 5819">
          <a:extLst>
            <a:ext uri="{FF2B5EF4-FFF2-40B4-BE49-F238E27FC236}">
              <a16:creationId xmlns:a16="http://schemas.microsoft.com/office/drawing/2014/main" id="{00000000-0008-0000-0000-00009C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21" name="TextBox 5820">
          <a:extLst>
            <a:ext uri="{FF2B5EF4-FFF2-40B4-BE49-F238E27FC236}">
              <a16:creationId xmlns:a16="http://schemas.microsoft.com/office/drawing/2014/main" id="{00000000-0008-0000-0000-00009D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22" name="TextBox 5821">
          <a:extLst>
            <a:ext uri="{FF2B5EF4-FFF2-40B4-BE49-F238E27FC236}">
              <a16:creationId xmlns:a16="http://schemas.microsoft.com/office/drawing/2014/main" id="{00000000-0008-0000-0000-00009E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23" name="TextBox 5822">
          <a:extLst>
            <a:ext uri="{FF2B5EF4-FFF2-40B4-BE49-F238E27FC236}">
              <a16:creationId xmlns:a16="http://schemas.microsoft.com/office/drawing/2014/main" id="{00000000-0008-0000-0000-00009F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24" name="TextBox 5823">
          <a:extLst>
            <a:ext uri="{FF2B5EF4-FFF2-40B4-BE49-F238E27FC236}">
              <a16:creationId xmlns:a16="http://schemas.microsoft.com/office/drawing/2014/main" id="{00000000-0008-0000-0000-0000A0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25" name="TextBox 5824">
          <a:extLst>
            <a:ext uri="{FF2B5EF4-FFF2-40B4-BE49-F238E27FC236}">
              <a16:creationId xmlns:a16="http://schemas.microsoft.com/office/drawing/2014/main" id="{00000000-0008-0000-0000-0000A1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26" name="TextBox 5825">
          <a:extLst>
            <a:ext uri="{FF2B5EF4-FFF2-40B4-BE49-F238E27FC236}">
              <a16:creationId xmlns:a16="http://schemas.microsoft.com/office/drawing/2014/main" id="{00000000-0008-0000-0000-0000A2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27" name="TextBox 5826">
          <a:extLst>
            <a:ext uri="{FF2B5EF4-FFF2-40B4-BE49-F238E27FC236}">
              <a16:creationId xmlns:a16="http://schemas.microsoft.com/office/drawing/2014/main" id="{00000000-0008-0000-0000-0000A3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28" name="TextBox 5827">
          <a:extLst>
            <a:ext uri="{FF2B5EF4-FFF2-40B4-BE49-F238E27FC236}">
              <a16:creationId xmlns:a16="http://schemas.microsoft.com/office/drawing/2014/main" id="{00000000-0008-0000-0000-0000A4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29" name="TextBox 5828">
          <a:extLst>
            <a:ext uri="{FF2B5EF4-FFF2-40B4-BE49-F238E27FC236}">
              <a16:creationId xmlns:a16="http://schemas.microsoft.com/office/drawing/2014/main" id="{00000000-0008-0000-0000-0000A5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30" name="TextBox 5829">
          <a:extLst>
            <a:ext uri="{FF2B5EF4-FFF2-40B4-BE49-F238E27FC236}">
              <a16:creationId xmlns:a16="http://schemas.microsoft.com/office/drawing/2014/main" id="{00000000-0008-0000-0000-0000A6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31" name="TextBox 5830">
          <a:extLst>
            <a:ext uri="{FF2B5EF4-FFF2-40B4-BE49-F238E27FC236}">
              <a16:creationId xmlns:a16="http://schemas.microsoft.com/office/drawing/2014/main" id="{00000000-0008-0000-0000-0000A7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32" name="TextBox 5831">
          <a:extLst>
            <a:ext uri="{FF2B5EF4-FFF2-40B4-BE49-F238E27FC236}">
              <a16:creationId xmlns:a16="http://schemas.microsoft.com/office/drawing/2014/main" id="{00000000-0008-0000-0000-0000A8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33" name="TextBox 5832">
          <a:extLst>
            <a:ext uri="{FF2B5EF4-FFF2-40B4-BE49-F238E27FC236}">
              <a16:creationId xmlns:a16="http://schemas.microsoft.com/office/drawing/2014/main" id="{00000000-0008-0000-0000-0000A9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34" name="TextBox 5833">
          <a:extLst>
            <a:ext uri="{FF2B5EF4-FFF2-40B4-BE49-F238E27FC236}">
              <a16:creationId xmlns:a16="http://schemas.microsoft.com/office/drawing/2014/main" id="{00000000-0008-0000-0000-0000AA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35" name="TextBox 5834">
          <a:extLst>
            <a:ext uri="{FF2B5EF4-FFF2-40B4-BE49-F238E27FC236}">
              <a16:creationId xmlns:a16="http://schemas.microsoft.com/office/drawing/2014/main" id="{00000000-0008-0000-0000-0000AB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36" name="TextBox 5835">
          <a:extLst>
            <a:ext uri="{FF2B5EF4-FFF2-40B4-BE49-F238E27FC236}">
              <a16:creationId xmlns:a16="http://schemas.microsoft.com/office/drawing/2014/main" id="{00000000-0008-0000-0000-0000AC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37" name="TextBox 5836">
          <a:extLst>
            <a:ext uri="{FF2B5EF4-FFF2-40B4-BE49-F238E27FC236}">
              <a16:creationId xmlns:a16="http://schemas.microsoft.com/office/drawing/2014/main" id="{00000000-0008-0000-0000-0000AD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38" name="TextBox 5837">
          <a:extLst>
            <a:ext uri="{FF2B5EF4-FFF2-40B4-BE49-F238E27FC236}">
              <a16:creationId xmlns:a16="http://schemas.microsoft.com/office/drawing/2014/main" id="{00000000-0008-0000-0000-0000AE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839" name="TextBox 5838">
          <a:extLst>
            <a:ext uri="{FF2B5EF4-FFF2-40B4-BE49-F238E27FC236}">
              <a16:creationId xmlns:a16="http://schemas.microsoft.com/office/drawing/2014/main" id="{00000000-0008-0000-0000-0000AF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840" name="TextBox 5839">
          <a:extLst>
            <a:ext uri="{FF2B5EF4-FFF2-40B4-BE49-F238E27FC236}">
              <a16:creationId xmlns:a16="http://schemas.microsoft.com/office/drawing/2014/main" id="{00000000-0008-0000-0000-0000B001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841" name="TextBox 5840">
          <a:extLst>
            <a:ext uri="{FF2B5EF4-FFF2-40B4-BE49-F238E27FC236}">
              <a16:creationId xmlns:a16="http://schemas.microsoft.com/office/drawing/2014/main" id="{00000000-0008-0000-0000-0000B101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842" name="TextBox 5841">
          <a:extLst>
            <a:ext uri="{FF2B5EF4-FFF2-40B4-BE49-F238E27FC236}">
              <a16:creationId xmlns:a16="http://schemas.microsoft.com/office/drawing/2014/main" id="{00000000-0008-0000-0000-0000B2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843" name="TextBox 5842">
          <a:extLst>
            <a:ext uri="{FF2B5EF4-FFF2-40B4-BE49-F238E27FC236}">
              <a16:creationId xmlns:a16="http://schemas.microsoft.com/office/drawing/2014/main" id="{00000000-0008-0000-0000-0000B3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844" name="TextBox 5843">
          <a:extLst>
            <a:ext uri="{FF2B5EF4-FFF2-40B4-BE49-F238E27FC236}">
              <a16:creationId xmlns:a16="http://schemas.microsoft.com/office/drawing/2014/main" id="{00000000-0008-0000-0000-0000B4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845" name="TextBox 5844">
          <a:extLst>
            <a:ext uri="{FF2B5EF4-FFF2-40B4-BE49-F238E27FC236}">
              <a16:creationId xmlns:a16="http://schemas.microsoft.com/office/drawing/2014/main" id="{00000000-0008-0000-0000-0000B5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846" name="TextBox 5845">
          <a:extLst>
            <a:ext uri="{FF2B5EF4-FFF2-40B4-BE49-F238E27FC236}">
              <a16:creationId xmlns:a16="http://schemas.microsoft.com/office/drawing/2014/main" id="{00000000-0008-0000-0000-0000B6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847" name="TextBox 5846">
          <a:extLst>
            <a:ext uri="{FF2B5EF4-FFF2-40B4-BE49-F238E27FC236}">
              <a16:creationId xmlns:a16="http://schemas.microsoft.com/office/drawing/2014/main" id="{00000000-0008-0000-0000-0000B7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848" name="TextBox 5847">
          <a:extLst>
            <a:ext uri="{FF2B5EF4-FFF2-40B4-BE49-F238E27FC236}">
              <a16:creationId xmlns:a16="http://schemas.microsoft.com/office/drawing/2014/main" id="{00000000-0008-0000-0000-0000B8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849" name="TextBox 5848">
          <a:extLst>
            <a:ext uri="{FF2B5EF4-FFF2-40B4-BE49-F238E27FC236}">
              <a16:creationId xmlns:a16="http://schemas.microsoft.com/office/drawing/2014/main" id="{00000000-0008-0000-0000-0000B9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50" name="TextBox 5849">
          <a:extLst>
            <a:ext uri="{FF2B5EF4-FFF2-40B4-BE49-F238E27FC236}">
              <a16:creationId xmlns:a16="http://schemas.microsoft.com/office/drawing/2014/main" id="{00000000-0008-0000-0000-0000B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51" name="TextBox 5850">
          <a:extLst>
            <a:ext uri="{FF2B5EF4-FFF2-40B4-BE49-F238E27FC236}">
              <a16:creationId xmlns:a16="http://schemas.microsoft.com/office/drawing/2014/main" id="{00000000-0008-0000-0000-0000B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52" name="TextBox 5851">
          <a:extLst>
            <a:ext uri="{FF2B5EF4-FFF2-40B4-BE49-F238E27FC236}">
              <a16:creationId xmlns:a16="http://schemas.microsoft.com/office/drawing/2014/main" id="{00000000-0008-0000-0000-0000B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53" name="TextBox 5852">
          <a:extLst>
            <a:ext uri="{FF2B5EF4-FFF2-40B4-BE49-F238E27FC236}">
              <a16:creationId xmlns:a16="http://schemas.microsoft.com/office/drawing/2014/main" id="{00000000-0008-0000-0000-0000B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54" name="TextBox 5853">
          <a:extLst>
            <a:ext uri="{FF2B5EF4-FFF2-40B4-BE49-F238E27FC236}">
              <a16:creationId xmlns:a16="http://schemas.microsoft.com/office/drawing/2014/main" id="{00000000-0008-0000-0000-0000B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55" name="TextBox 5854">
          <a:extLst>
            <a:ext uri="{FF2B5EF4-FFF2-40B4-BE49-F238E27FC236}">
              <a16:creationId xmlns:a16="http://schemas.microsoft.com/office/drawing/2014/main" id="{00000000-0008-0000-0000-0000B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56" name="TextBox 5855">
          <a:extLst>
            <a:ext uri="{FF2B5EF4-FFF2-40B4-BE49-F238E27FC236}">
              <a16:creationId xmlns:a16="http://schemas.microsoft.com/office/drawing/2014/main" id="{00000000-0008-0000-0000-0000C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57" name="TextBox 5856">
          <a:extLst>
            <a:ext uri="{FF2B5EF4-FFF2-40B4-BE49-F238E27FC236}">
              <a16:creationId xmlns:a16="http://schemas.microsoft.com/office/drawing/2014/main" id="{00000000-0008-0000-0000-0000C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58" name="TextBox 5857">
          <a:extLst>
            <a:ext uri="{FF2B5EF4-FFF2-40B4-BE49-F238E27FC236}">
              <a16:creationId xmlns:a16="http://schemas.microsoft.com/office/drawing/2014/main" id="{00000000-0008-0000-0000-0000C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59" name="TextBox 5858">
          <a:extLst>
            <a:ext uri="{FF2B5EF4-FFF2-40B4-BE49-F238E27FC236}">
              <a16:creationId xmlns:a16="http://schemas.microsoft.com/office/drawing/2014/main" id="{00000000-0008-0000-0000-0000C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60" name="TextBox 5859">
          <a:extLst>
            <a:ext uri="{FF2B5EF4-FFF2-40B4-BE49-F238E27FC236}">
              <a16:creationId xmlns:a16="http://schemas.microsoft.com/office/drawing/2014/main" id="{00000000-0008-0000-0000-0000C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61" name="TextBox 5860">
          <a:extLst>
            <a:ext uri="{FF2B5EF4-FFF2-40B4-BE49-F238E27FC236}">
              <a16:creationId xmlns:a16="http://schemas.microsoft.com/office/drawing/2014/main" id="{00000000-0008-0000-0000-0000C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62" name="TextBox 5861">
          <a:extLst>
            <a:ext uri="{FF2B5EF4-FFF2-40B4-BE49-F238E27FC236}">
              <a16:creationId xmlns:a16="http://schemas.microsoft.com/office/drawing/2014/main" id="{00000000-0008-0000-0000-0000C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63" name="TextBox 5862">
          <a:extLst>
            <a:ext uri="{FF2B5EF4-FFF2-40B4-BE49-F238E27FC236}">
              <a16:creationId xmlns:a16="http://schemas.microsoft.com/office/drawing/2014/main" id="{00000000-0008-0000-0000-0000C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64" name="TextBox 5863">
          <a:extLst>
            <a:ext uri="{FF2B5EF4-FFF2-40B4-BE49-F238E27FC236}">
              <a16:creationId xmlns:a16="http://schemas.microsoft.com/office/drawing/2014/main" id="{00000000-0008-0000-0000-0000C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65" name="TextBox 5864">
          <a:extLst>
            <a:ext uri="{FF2B5EF4-FFF2-40B4-BE49-F238E27FC236}">
              <a16:creationId xmlns:a16="http://schemas.microsoft.com/office/drawing/2014/main" id="{00000000-0008-0000-0000-0000C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66" name="TextBox 5865">
          <a:extLst>
            <a:ext uri="{FF2B5EF4-FFF2-40B4-BE49-F238E27FC236}">
              <a16:creationId xmlns:a16="http://schemas.microsoft.com/office/drawing/2014/main" id="{00000000-0008-0000-0000-0000C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67" name="TextBox 5866">
          <a:extLst>
            <a:ext uri="{FF2B5EF4-FFF2-40B4-BE49-F238E27FC236}">
              <a16:creationId xmlns:a16="http://schemas.microsoft.com/office/drawing/2014/main" id="{00000000-0008-0000-0000-0000C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68" name="TextBox 5867">
          <a:extLst>
            <a:ext uri="{FF2B5EF4-FFF2-40B4-BE49-F238E27FC236}">
              <a16:creationId xmlns:a16="http://schemas.microsoft.com/office/drawing/2014/main" id="{00000000-0008-0000-0000-0000C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69" name="TextBox 5868">
          <a:extLst>
            <a:ext uri="{FF2B5EF4-FFF2-40B4-BE49-F238E27FC236}">
              <a16:creationId xmlns:a16="http://schemas.microsoft.com/office/drawing/2014/main" id="{00000000-0008-0000-0000-0000C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70" name="TextBox 5869">
          <a:extLst>
            <a:ext uri="{FF2B5EF4-FFF2-40B4-BE49-F238E27FC236}">
              <a16:creationId xmlns:a16="http://schemas.microsoft.com/office/drawing/2014/main" id="{00000000-0008-0000-0000-0000C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71" name="TextBox 5870">
          <a:extLst>
            <a:ext uri="{FF2B5EF4-FFF2-40B4-BE49-F238E27FC236}">
              <a16:creationId xmlns:a16="http://schemas.microsoft.com/office/drawing/2014/main" id="{00000000-0008-0000-0000-0000C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72" name="TextBox 5871">
          <a:extLst>
            <a:ext uri="{FF2B5EF4-FFF2-40B4-BE49-F238E27FC236}">
              <a16:creationId xmlns:a16="http://schemas.microsoft.com/office/drawing/2014/main" id="{00000000-0008-0000-0000-0000D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73" name="TextBox 5872">
          <a:extLst>
            <a:ext uri="{FF2B5EF4-FFF2-40B4-BE49-F238E27FC236}">
              <a16:creationId xmlns:a16="http://schemas.microsoft.com/office/drawing/2014/main" id="{00000000-0008-0000-0000-0000D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74" name="TextBox 5873">
          <a:extLst>
            <a:ext uri="{FF2B5EF4-FFF2-40B4-BE49-F238E27FC236}">
              <a16:creationId xmlns:a16="http://schemas.microsoft.com/office/drawing/2014/main" id="{00000000-0008-0000-0000-0000D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75" name="TextBox 5874">
          <a:extLst>
            <a:ext uri="{FF2B5EF4-FFF2-40B4-BE49-F238E27FC236}">
              <a16:creationId xmlns:a16="http://schemas.microsoft.com/office/drawing/2014/main" id="{00000000-0008-0000-0000-0000D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76" name="TextBox 5875">
          <a:extLst>
            <a:ext uri="{FF2B5EF4-FFF2-40B4-BE49-F238E27FC236}">
              <a16:creationId xmlns:a16="http://schemas.microsoft.com/office/drawing/2014/main" id="{00000000-0008-0000-0000-0000D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77" name="TextBox 5876">
          <a:extLst>
            <a:ext uri="{FF2B5EF4-FFF2-40B4-BE49-F238E27FC236}">
              <a16:creationId xmlns:a16="http://schemas.microsoft.com/office/drawing/2014/main" id="{00000000-0008-0000-0000-0000D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78" name="TextBox 5877">
          <a:extLst>
            <a:ext uri="{FF2B5EF4-FFF2-40B4-BE49-F238E27FC236}">
              <a16:creationId xmlns:a16="http://schemas.microsoft.com/office/drawing/2014/main" id="{00000000-0008-0000-0000-0000D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79" name="TextBox 5878">
          <a:extLst>
            <a:ext uri="{FF2B5EF4-FFF2-40B4-BE49-F238E27FC236}">
              <a16:creationId xmlns:a16="http://schemas.microsoft.com/office/drawing/2014/main" id="{00000000-0008-0000-0000-0000D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80" name="TextBox 5879">
          <a:extLst>
            <a:ext uri="{FF2B5EF4-FFF2-40B4-BE49-F238E27FC236}">
              <a16:creationId xmlns:a16="http://schemas.microsoft.com/office/drawing/2014/main" id="{00000000-0008-0000-0000-0000D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81" name="TextBox 5880">
          <a:extLst>
            <a:ext uri="{FF2B5EF4-FFF2-40B4-BE49-F238E27FC236}">
              <a16:creationId xmlns:a16="http://schemas.microsoft.com/office/drawing/2014/main" id="{00000000-0008-0000-0000-0000D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82" name="TextBox 5881">
          <a:extLst>
            <a:ext uri="{FF2B5EF4-FFF2-40B4-BE49-F238E27FC236}">
              <a16:creationId xmlns:a16="http://schemas.microsoft.com/office/drawing/2014/main" id="{00000000-0008-0000-0000-0000D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83" name="TextBox 5882">
          <a:extLst>
            <a:ext uri="{FF2B5EF4-FFF2-40B4-BE49-F238E27FC236}">
              <a16:creationId xmlns:a16="http://schemas.microsoft.com/office/drawing/2014/main" id="{00000000-0008-0000-0000-0000D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84" name="TextBox 5883">
          <a:extLst>
            <a:ext uri="{FF2B5EF4-FFF2-40B4-BE49-F238E27FC236}">
              <a16:creationId xmlns:a16="http://schemas.microsoft.com/office/drawing/2014/main" id="{00000000-0008-0000-0000-0000D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85" name="TextBox 5884">
          <a:extLst>
            <a:ext uri="{FF2B5EF4-FFF2-40B4-BE49-F238E27FC236}">
              <a16:creationId xmlns:a16="http://schemas.microsoft.com/office/drawing/2014/main" id="{00000000-0008-0000-0000-0000D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86" name="TextBox 5885">
          <a:extLst>
            <a:ext uri="{FF2B5EF4-FFF2-40B4-BE49-F238E27FC236}">
              <a16:creationId xmlns:a16="http://schemas.microsoft.com/office/drawing/2014/main" id="{00000000-0008-0000-0000-0000D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87" name="TextBox 5886">
          <a:extLst>
            <a:ext uri="{FF2B5EF4-FFF2-40B4-BE49-F238E27FC236}">
              <a16:creationId xmlns:a16="http://schemas.microsoft.com/office/drawing/2014/main" id="{00000000-0008-0000-0000-0000D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88" name="TextBox 5887">
          <a:extLst>
            <a:ext uri="{FF2B5EF4-FFF2-40B4-BE49-F238E27FC236}">
              <a16:creationId xmlns:a16="http://schemas.microsoft.com/office/drawing/2014/main" id="{00000000-0008-0000-0000-0000E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89" name="TextBox 5888">
          <a:extLst>
            <a:ext uri="{FF2B5EF4-FFF2-40B4-BE49-F238E27FC236}">
              <a16:creationId xmlns:a16="http://schemas.microsoft.com/office/drawing/2014/main" id="{00000000-0008-0000-0000-0000E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90" name="TextBox 5889">
          <a:extLst>
            <a:ext uri="{FF2B5EF4-FFF2-40B4-BE49-F238E27FC236}">
              <a16:creationId xmlns:a16="http://schemas.microsoft.com/office/drawing/2014/main" id="{00000000-0008-0000-0000-0000E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91" name="TextBox 5890">
          <a:extLst>
            <a:ext uri="{FF2B5EF4-FFF2-40B4-BE49-F238E27FC236}">
              <a16:creationId xmlns:a16="http://schemas.microsoft.com/office/drawing/2014/main" id="{00000000-0008-0000-0000-0000E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92" name="TextBox 5891">
          <a:extLst>
            <a:ext uri="{FF2B5EF4-FFF2-40B4-BE49-F238E27FC236}">
              <a16:creationId xmlns:a16="http://schemas.microsoft.com/office/drawing/2014/main" id="{00000000-0008-0000-0000-0000E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93" name="TextBox 5892">
          <a:extLst>
            <a:ext uri="{FF2B5EF4-FFF2-40B4-BE49-F238E27FC236}">
              <a16:creationId xmlns:a16="http://schemas.microsoft.com/office/drawing/2014/main" id="{00000000-0008-0000-0000-0000E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94" name="TextBox 5893">
          <a:extLst>
            <a:ext uri="{FF2B5EF4-FFF2-40B4-BE49-F238E27FC236}">
              <a16:creationId xmlns:a16="http://schemas.microsoft.com/office/drawing/2014/main" id="{00000000-0008-0000-0000-0000E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95" name="TextBox 5894">
          <a:extLst>
            <a:ext uri="{FF2B5EF4-FFF2-40B4-BE49-F238E27FC236}">
              <a16:creationId xmlns:a16="http://schemas.microsoft.com/office/drawing/2014/main" id="{00000000-0008-0000-0000-0000E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96" name="TextBox 5895">
          <a:extLst>
            <a:ext uri="{FF2B5EF4-FFF2-40B4-BE49-F238E27FC236}">
              <a16:creationId xmlns:a16="http://schemas.microsoft.com/office/drawing/2014/main" id="{00000000-0008-0000-0000-0000E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97" name="TextBox 5896">
          <a:extLst>
            <a:ext uri="{FF2B5EF4-FFF2-40B4-BE49-F238E27FC236}">
              <a16:creationId xmlns:a16="http://schemas.microsoft.com/office/drawing/2014/main" id="{00000000-0008-0000-0000-0000E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98" name="TextBox 5897">
          <a:extLst>
            <a:ext uri="{FF2B5EF4-FFF2-40B4-BE49-F238E27FC236}">
              <a16:creationId xmlns:a16="http://schemas.microsoft.com/office/drawing/2014/main" id="{00000000-0008-0000-0000-0000E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899" name="TextBox 5898">
          <a:extLst>
            <a:ext uri="{FF2B5EF4-FFF2-40B4-BE49-F238E27FC236}">
              <a16:creationId xmlns:a16="http://schemas.microsoft.com/office/drawing/2014/main" id="{00000000-0008-0000-0000-0000E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00" name="TextBox 5899">
          <a:extLst>
            <a:ext uri="{FF2B5EF4-FFF2-40B4-BE49-F238E27FC236}">
              <a16:creationId xmlns:a16="http://schemas.microsoft.com/office/drawing/2014/main" id="{00000000-0008-0000-0000-0000E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01" name="TextBox 5900">
          <a:extLst>
            <a:ext uri="{FF2B5EF4-FFF2-40B4-BE49-F238E27FC236}">
              <a16:creationId xmlns:a16="http://schemas.microsoft.com/office/drawing/2014/main" id="{00000000-0008-0000-0000-0000E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02" name="TextBox 5901">
          <a:extLst>
            <a:ext uri="{FF2B5EF4-FFF2-40B4-BE49-F238E27FC236}">
              <a16:creationId xmlns:a16="http://schemas.microsoft.com/office/drawing/2014/main" id="{00000000-0008-0000-0000-0000E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03" name="TextBox 5902">
          <a:extLst>
            <a:ext uri="{FF2B5EF4-FFF2-40B4-BE49-F238E27FC236}">
              <a16:creationId xmlns:a16="http://schemas.microsoft.com/office/drawing/2014/main" id="{00000000-0008-0000-0000-0000E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04" name="TextBox 5903">
          <a:extLst>
            <a:ext uri="{FF2B5EF4-FFF2-40B4-BE49-F238E27FC236}">
              <a16:creationId xmlns:a16="http://schemas.microsoft.com/office/drawing/2014/main" id="{00000000-0008-0000-0000-0000F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05" name="TextBox 5904">
          <a:extLst>
            <a:ext uri="{FF2B5EF4-FFF2-40B4-BE49-F238E27FC236}">
              <a16:creationId xmlns:a16="http://schemas.microsoft.com/office/drawing/2014/main" id="{00000000-0008-0000-0000-0000F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06" name="TextBox 5905">
          <a:extLst>
            <a:ext uri="{FF2B5EF4-FFF2-40B4-BE49-F238E27FC236}">
              <a16:creationId xmlns:a16="http://schemas.microsoft.com/office/drawing/2014/main" id="{00000000-0008-0000-0000-0000F2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07" name="TextBox 5906">
          <a:extLst>
            <a:ext uri="{FF2B5EF4-FFF2-40B4-BE49-F238E27FC236}">
              <a16:creationId xmlns:a16="http://schemas.microsoft.com/office/drawing/2014/main" id="{00000000-0008-0000-0000-0000F3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08" name="TextBox 5907">
          <a:extLst>
            <a:ext uri="{FF2B5EF4-FFF2-40B4-BE49-F238E27FC236}">
              <a16:creationId xmlns:a16="http://schemas.microsoft.com/office/drawing/2014/main" id="{00000000-0008-0000-0000-0000F4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09" name="TextBox 5908">
          <a:extLst>
            <a:ext uri="{FF2B5EF4-FFF2-40B4-BE49-F238E27FC236}">
              <a16:creationId xmlns:a16="http://schemas.microsoft.com/office/drawing/2014/main" id="{00000000-0008-0000-0000-0000F5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10" name="TextBox 5909">
          <a:extLst>
            <a:ext uri="{FF2B5EF4-FFF2-40B4-BE49-F238E27FC236}">
              <a16:creationId xmlns:a16="http://schemas.microsoft.com/office/drawing/2014/main" id="{00000000-0008-0000-0000-0000F6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11" name="TextBox 5910">
          <a:extLst>
            <a:ext uri="{FF2B5EF4-FFF2-40B4-BE49-F238E27FC236}">
              <a16:creationId xmlns:a16="http://schemas.microsoft.com/office/drawing/2014/main" id="{00000000-0008-0000-0000-0000F7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12" name="TextBox 5911">
          <a:extLst>
            <a:ext uri="{FF2B5EF4-FFF2-40B4-BE49-F238E27FC236}">
              <a16:creationId xmlns:a16="http://schemas.microsoft.com/office/drawing/2014/main" id="{00000000-0008-0000-0000-0000F8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13" name="TextBox 5912">
          <a:extLst>
            <a:ext uri="{FF2B5EF4-FFF2-40B4-BE49-F238E27FC236}">
              <a16:creationId xmlns:a16="http://schemas.microsoft.com/office/drawing/2014/main" id="{00000000-0008-0000-0000-0000F9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14" name="TextBox 5913">
          <a:extLst>
            <a:ext uri="{FF2B5EF4-FFF2-40B4-BE49-F238E27FC236}">
              <a16:creationId xmlns:a16="http://schemas.microsoft.com/office/drawing/2014/main" id="{D790F7C5-4FB4-4169-AECB-29A162C3B4E0}"/>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15" name="TextBox 5914">
          <a:extLst>
            <a:ext uri="{FF2B5EF4-FFF2-40B4-BE49-F238E27FC236}">
              <a16:creationId xmlns:a16="http://schemas.microsoft.com/office/drawing/2014/main" id="{4B3266CB-1924-4B0B-A63A-F668BBA86148}"/>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16" name="TextBox 5915">
          <a:extLst>
            <a:ext uri="{FF2B5EF4-FFF2-40B4-BE49-F238E27FC236}">
              <a16:creationId xmlns:a16="http://schemas.microsoft.com/office/drawing/2014/main" id="{CBC7410D-7C3A-41C0-B6C7-F75F0212AE33}"/>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17" name="TextBox 5916">
          <a:extLst>
            <a:ext uri="{FF2B5EF4-FFF2-40B4-BE49-F238E27FC236}">
              <a16:creationId xmlns:a16="http://schemas.microsoft.com/office/drawing/2014/main" id="{50BBF757-870F-4C5F-8A6D-BB01D20FB785}"/>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18" name="TextBox 5917">
          <a:extLst>
            <a:ext uri="{FF2B5EF4-FFF2-40B4-BE49-F238E27FC236}">
              <a16:creationId xmlns:a16="http://schemas.microsoft.com/office/drawing/2014/main" id="{924A6A0B-67A0-4D39-98DD-B4890EA7059F}"/>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19" name="TextBox 5918">
          <a:extLst>
            <a:ext uri="{FF2B5EF4-FFF2-40B4-BE49-F238E27FC236}">
              <a16:creationId xmlns:a16="http://schemas.microsoft.com/office/drawing/2014/main" id="{418D698A-7CAD-4873-9383-980E4B117409}"/>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20" name="TextBox 5919">
          <a:extLst>
            <a:ext uri="{FF2B5EF4-FFF2-40B4-BE49-F238E27FC236}">
              <a16:creationId xmlns:a16="http://schemas.microsoft.com/office/drawing/2014/main" id="{D4576B78-2AC7-4FA0-B5A6-410991F126C0}"/>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21" name="TextBox 5920">
          <a:extLst>
            <a:ext uri="{FF2B5EF4-FFF2-40B4-BE49-F238E27FC236}">
              <a16:creationId xmlns:a16="http://schemas.microsoft.com/office/drawing/2014/main" id="{3F70C200-9F35-47B9-A6A0-8BD020BFA9F5}"/>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22" name="TextBox 5921">
          <a:extLst>
            <a:ext uri="{FF2B5EF4-FFF2-40B4-BE49-F238E27FC236}">
              <a16:creationId xmlns:a16="http://schemas.microsoft.com/office/drawing/2014/main" id="{B21B1052-165D-406E-ACA9-FA2B1238ADAA}"/>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23" name="TextBox 5922">
          <a:extLst>
            <a:ext uri="{FF2B5EF4-FFF2-40B4-BE49-F238E27FC236}">
              <a16:creationId xmlns:a16="http://schemas.microsoft.com/office/drawing/2014/main" id="{65417AB6-2889-49DD-9AEF-7149F5D9B7B2}"/>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24" name="TextBox 5923">
          <a:extLst>
            <a:ext uri="{FF2B5EF4-FFF2-40B4-BE49-F238E27FC236}">
              <a16:creationId xmlns:a16="http://schemas.microsoft.com/office/drawing/2014/main" id="{7BF692BA-8340-4141-BC82-F9CF78D79873}"/>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25" name="TextBox 5924">
          <a:extLst>
            <a:ext uri="{FF2B5EF4-FFF2-40B4-BE49-F238E27FC236}">
              <a16:creationId xmlns:a16="http://schemas.microsoft.com/office/drawing/2014/main" id="{79127C80-C540-411B-B139-200EBBA5DA66}"/>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26" name="TextBox 5925">
          <a:extLst>
            <a:ext uri="{FF2B5EF4-FFF2-40B4-BE49-F238E27FC236}">
              <a16:creationId xmlns:a16="http://schemas.microsoft.com/office/drawing/2014/main" id="{B67D3F3D-F87A-4ACF-91FC-9A53D5A2D4D3}"/>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27" name="TextBox 5926">
          <a:extLst>
            <a:ext uri="{FF2B5EF4-FFF2-40B4-BE49-F238E27FC236}">
              <a16:creationId xmlns:a16="http://schemas.microsoft.com/office/drawing/2014/main" id="{58EC8DC8-71FC-42BE-93DA-79FE716E2108}"/>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28" name="TextBox 5927">
          <a:extLst>
            <a:ext uri="{FF2B5EF4-FFF2-40B4-BE49-F238E27FC236}">
              <a16:creationId xmlns:a16="http://schemas.microsoft.com/office/drawing/2014/main" id="{7B7B12E6-3D6A-411C-8750-B2D904ED71B9}"/>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29" name="TextBox 5928">
          <a:extLst>
            <a:ext uri="{FF2B5EF4-FFF2-40B4-BE49-F238E27FC236}">
              <a16:creationId xmlns:a16="http://schemas.microsoft.com/office/drawing/2014/main" id="{F482887C-F492-4307-823C-4E10D7821CC6}"/>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30" name="TextBox 5929">
          <a:extLst>
            <a:ext uri="{FF2B5EF4-FFF2-40B4-BE49-F238E27FC236}">
              <a16:creationId xmlns:a16="http://schemas.microsoft.com/office/drawing/2014/main" id="{0949CA64-0CC0-4B53-A59D-24AD43506153}"/>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31" name="TextBox 5930">
          <a:extLst>
            <a:ext uri="{FF2B5EF4-FFF2-40B4-BE49-F238E27FC236}">
              <a16:creationId xmlns:a16="http://schemas.microsoft.com/office/drawing/2014/main" id="{AF47DE7E-DEEE-4D8F-BEA0-B678FC4108A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32" name="TextBox 5931">
          <a:extLst>
            <a:ext uri="{FF2B5EF4-FFF2-40B4-BE49-F238E27FC236}">
              <a16:creationId xmlns:a16="http://schemas.microsoft.com/office/drawing/2014/main" id="{50B7B56B-3E53-478E-BD2A-1CB44BB0EE3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33" name="TextBox 5932">
          <a:extLst>
            <a:ext uri="{FF2B5EF4-FFF2-40B4-BE49-F238E27FC236}">
              <a16:creationId xmlns:a16="http://schemas.microsoft.com/office/drawing/2014/main" id="{9A76D97E-F211-4995-A860-8787CD5178FF}"/>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34" name="TextBox 5933">
          <a:extLst>
            <a:ext uri="{FF2B5EF4-FFF2-40B4-BE49-F238E27FC236}">
              <a16:creationId xmlns:a16="http://schemas.microsoft.com/office/drawing/2014/main" id="{9FC70A70-D526-4203-8E11-372D840B6103}"/>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35" name="TextBox 5934">
          <a:extLst>
            <a:ext uri="{FF2B5EF4-FFF2-40B4-BE49-F238E27FC236}">
              <a16:creationId xmlns:a16="http://schemas.microsoft.com/office/drawing/2014/main" id="{4F6B1A49-C9DC-473C-8ECD-E788E907B701}"/>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36" name="TextBox 5935">
          <a:extLst>
            <a:ext uri="{FF2B5EF4-FFF2-40B4-BE49-F238E27FC236}">
              <a16:creationId xmlns:a16="http://schemas.microsoft.com/office/drawing/2014/main" id="{7249EAE9-2088-4834-9241-A764E60A6F18}"/>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37" name="TextBox 5936">
          <a:extLst>
            <a:ext uri="{FF2B5EF4-FFF2-40B4-BE49-F238E27FC236}">
              <a16:creationId xmlns:a16="http://schemas.microsoft.com/office/drawing/2014/main" id="{CEEDDCB2-23A2-47B2-AA3F-37312ED4C714}"/>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38" name="TextBox 5937">
          <a:extLst>
            <a:ext uri="{FF2B5EF4-FFF2-40B4-BE49-F238E27FC236}">
              <a16:creationId xmlns:a16="http://schemas.microsoft.com/office/drawing/2014/main" id="{C53CCEBA-D398-4C3C-8E47-107C27B759C1}"/>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39" name="TextBox 5938">
          <a:extLst>
            <a:ext uri="{FF2B5EF4-FFF2-40B4-BE49-F238E27FC236}">
              <a16:creationId xmlns:a16="http://schemas.microsoft.com/office/drawing/2014/main" id="{C8C855ED-970E-43B8-A5B1-6F6ADBB998A9}"/>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40" name="TextBox 5939">
          <a:extLst>
            <a:ext uri="{FF2B5EF4-FFF2-40B4-BE49-F238E27FC236}">
              <a16:creationId xmlns:a16="http://schemas.microsoft.com/office/drawing/2014/main" id="{E705C099-0DDB-4CBB-91AA-6BD578E38D4C}"/>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41" name="TextBox 5940">
          <a:extLst>
            <a:ext uri="{FF2B5EF4-FFF2-40B4-BE49-F238E27FC236}">
              <a16:creationId xmlns:a16="http://schemas.microsoft.com/office/drawing/2014/main" id="{ADA9DEB9-F0D8-4AB1-B42C-8371D735EDB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42" name="TextBox 5941">
          <a:extLst>
            <a:ext uri="{FF2B5EF4-FFF2-40B4-BE49-F238E27FC236}">
              <a16:creationId xmlns:a16="http://schemas.microsoft.com/office/drawing/2014/main" id="{709CBE26-A551-4C7C-A384-D56B48045E68}"/>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43" name="TextBox 5942">
          <a:extLst>
            <a:ext uri="{FF2B5EF4-FFF2-40B4-BE49-F238E27FC236}">
              <a16:creationId xmlns:a16="http://schemas.microsoft.com/office/drawing/2014/main" id="{FCF004D5-83CC-4601-BE3C-2D350D291279}"/>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44" name="TextBox 5943">
          <a:extLst>
            <a:ext uri="{FF2B5EF4-FFF2-40B4-BE49-F238E27FC236}">
              <a16:creationId xmlns:a16="http://schemas.microsoft.com/office/drawing/2014/main" id="{27CE9EF6-2DFA-4778-9205-D83560524403}"/>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45" name="TextBox 5944">
          <a:extLst>
            <a:ext uri="{FF2B5EF4-FFF2-40B4-BE49-F238E27FC236}">
              <a16:creationId xmlns:a16="http://schemas.microsoft.com/office/drawing/2014/main" id="{AEF2C205-301C-4560-BC83-375E974BCEAF}"/>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46" name="TextBox 5945">
          <a:extLst>
            <a:ext uri="{FF2B5EF4-FFF2-40B4-BE49-F238E27FC236}">
              <a16:creationId xmlns:a16="http://schemas.microsoft.com/office/drawing/2014/main" id="{3DCCF9ED-9B1F-4DC7-B839-6E3EB677417B}"/>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47" name="TextBox 5946">
          <a:extLst>
            <a:ext uri="{FF2B5EF4-FFF2-40B4-BE49-F238E27FC236}">
              <a16:creationId xmlns:a16="http://schemas.microsoft.com/office/drawing/2014/main" id="{3D9466B2-EB98-463C-88EA-A326C523B5D8}"/>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48" name="TextBox 5947">
          <a:extLst>
            <a:ext uri="{FF2B5EF4-FFF2-40B4-BE49-F238E27FC236}">
              <a16:creationId xmlns:a16="http://schemas.microsoft.com/office/drawing/2014/main" id="{0F2E4FBC-6F9D-49D8-B320-D21C3287204C}"/>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49" name="TextBox 5948">
          <a:extLst>
            <a:ext uri="{FF2B5EF4-FFF2-40B4-BE49-F238E27FC236}">
              <a16:creationId xmlns:a16="http://schemas.microsoft.com/office/drawing/2014/main" id="{9EE8A67A-FC51-41CC-B6A6-507074A0155B}"/>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50" name="TextBox 5949">
          <a:extLst>
            <a:ext uri="{FF2B5EF4-FFF2-40B4-BE49-F238E27FC236}">
              <a16:creationId xmlns:a16="http://schemas.microsoft.com/office/drawing/2014/main" id="{E3EE1ED8-1246-4E13-86A2-D686D3F3CFAC}"/>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51" name="TextBox 5950">
          <a:extLst>
            <a:ext uri="{FF2B5EF4-FFF2-40B4-BE49-F238E27FC236}">
              <a16:creationId xmlns:a16="http://schemas.microsoft.com/office/drawing/2014/main" id="{112F0F0B-ABFD-4DDD-BCB9-10FEAFDB5AD9}"/>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52" name="TextBox 5951">
          <a:extLst>
            <a:ext uri="{FF2B5EF4-FFF2-40B4-BE49-F238E27FC236}">
              <a16:creationId xmlns:a16="http://schemas.microsoft.com/office/drawing/2014/main" id="{12EDF718-BDAC-48A4-BBFB-24DCD5C1D4FC}"/>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53" name="TextBox 5952">
          <a:extLst>
            <a:ext uri="{FF2B5EF4-FFF2-40B4-BE49-F238E27FC236}">
              <a16:creationId xmlns:a16="http://schemas.microsoft.com/office/drawing/2014/main" id="{B3B85458-8D8F-4F12-B7C0-DC92B39A1F35}"/>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54" name="TextBox 5953">
          <a:extLst>
            <a:ext uri="{FF2B5EF4-FFF2-40B4-BE49-F238E27FC236}">
              <a16:creationId xmlns:a16="http://schemas.microsoft.com/office/drawing/2014/main" id="{BF066412-0AC2-4C2B-9E92-DFE86D6A185E}"/>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55" name="TextBox 5954">
          <a:extLst>
            <a:ext uri="{FF2B5EF4-FFF2-40B4-BE49-F238E27FC236}">
              <a16:creationId xmlns:a16="http://schemas.microsoft.com/office/drawing/2014/main" id="{F84E80ED-F217-41BA-9FA6-C1DBC25F3A17}"/>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twoCellAnchor>
    <xdr:from>
      <xdr:col>0</xdr:col>
      <xdr:colOff>0</xdr:colOff>
      <xdr:row>69</xdr:row>
      <xdr:rowOff>95250</xdr:rowOff>
    </xdr:from>
    <xdr:to>
      <xdr:col>2</xdr:col>
      <xdr:colOff>561975</xdr:colOff>
      <xdr:row>83</xdr:row>
      <xdr:rowOff>171450</xdr:rowOff>
    </xdr:to>
    <xdr:graphicFrame macro="">
      <xdr:nvGraphicFramePr>
        <xdr:cNvPr id="5957" name="Chart 5956">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0</xdr:colOff>
      <xdr:row>164</xdr:row>
      <xdr:rowOff>0</xdr:rowOff>
    </xdr:from>
    <xdr:ext cx="65" cy="172227"/>
    <xdr:sp macro="" textlink="">
      <xdr:nvSpPr>
        <xdr:cNvPr id="5958" name="TextBox 5957">
          <a:extLst>
            <a:ext uri="{FF2B5EF4-FFF2-40B4-BE49-F238E27FC236}">
              <a16:creationId xmlns:a16="http://schemas.microsoft.com/office/drawing/2014/main" id="{00000000-0008-0000-0000-000007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164</xdr:row>
      <xdr:rowOff>0</xdr:rowOff>
    </xdr:from>
    <xdr:ext cx="65" cy="172227"/>
    <xdr:sp macro="" textlink="">
      <xdr:nvSpPr>
        <xdr:cNvPr id="5962" name="TextBox 5961">
          <a:extLst>
            <a:ext uri="{FF2B5EF4-FFF2-40B4-BE49-F238E27FC236}">
              <a16:creationId xmlns:a16="http://schemas.microsoft.com/office/drawing/2014/main" id="{00000000-0008-0000-0000-00000B000000}"/>
            </a:ext>
          </a:extLst>
        </xdr:cNvPr>
        <xdr:cNvSpPr txBox="1"/>
      </xdr:nvSpPr>
      <xdr:spPr>
        <a:xfrm>
          <a:off x="8267700" y="33672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63" name="TextBox 5962">
          <a:extLst>
            <a:ext uri="{FF2B5EF4-FFF2-40B4-BE49-F238E27FC236}">
              <a16:creationId xmlns:a16="http://schemas.microsoft.com/office/drawing/2014/main" id="{00000000-0008-0000-0000-00000C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5964" name="TextBox 5963">
          <a:extLst>
            <a:ext uri="{FF2B5EF4-FFF2-40B4-BE49-F238E27FC236}">
              <a16:creationId xmlns:a16="http://schemas.microsoft.com/office/drawing/2014/main" id="{00000000-0008-0000-0000-00000D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65" name="TextBox 5964">
          <a:extLst>
            <a:ext uri="{FF2B5EF4-FFF2-40B4-BE49-F238E27FC236}">
              <a16:creationId xmlns:a16="http://schemas.microsoft.com/office/drawing/2014/main" id="{00000000-0008-0000-0000-00000E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5966" name="TextBox 5965">
          <a:extLst>
            <a:ext uri="{FF2B5EF4-FFF2-40B4-BE49-F238E27FC236}">
              <a16:creationId xmlns:a16="http://schemas.microsoft.com/office/drawing/2014/main" id="{00000000-0008-0000-0000-00000F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67" name="TextBox 5966">
          <a:extLst>
            <a:ext uri="{FF2B5EF4-FFF2-40B4-BE49-F238E27FC236}">
              <a16:creationId xmlns:a16="http://schemas.microsoft.com/office/drawing/2014/main" id="{00000000-0008-0000-0000-000010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5968" name="TextBox 5967">
          <a:extLst>
            <a:ext uri="{FF2B5EF4-FFF2-40B4-BE49-F238E27FC236}">
              <a16:creationId xmlns:a16="http://schemas.microsoft.com/office/drawing/2014/main" id="{00000000-0008-0000-0000-000011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969" name="TextBox 5968">
          <a:extLst>
            <a:ext uri="{FF2B5EF4-FFF2-40B4-BE49-F238E27FC236}">
              <a16:creationId xmlns:a16="http://schemas.microsoft.com/office/drawing/2014/main" id="{00000000-0008-0000-0000-000012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5970" name="TextBox 5969">
          <a:extLst>
            <a:ext uri="{FF2B5EF4-FFF2-40B4-BE49-F238E27FC236}">
              <a16:creationId xmlns:a16="http://schemas.microsoft.com/office/drawing/2014/main" id="{00000000-0008-0000-0000-000013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971" name="TextBox 5970">
          <a:extLst>
            <a:ext uri="{FF2B5EF4-FFF2-40B4-BE49-F238E27FC236}">
              <a16:creationId xmlns:a16="http://schemas.microsoft.com/office/drawing/2014/main" id="{00000000-0008-0000-0000-000014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5972" name="TextBox 5971">
          <a:extLst>
            <a:ext uri="{FF2B5EF4-FFF2-40B4-BE49-F238E27FC236}">
              <a16:creationId xmlns:a16="http://schemas.microsoft.com/office/drawing/2014/main" id="{00000000-0008-0000-0000-000015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73" name="TextBox 5972">
          <a:extLst>
            <a:ext uri="{FF2B5EF4-FFF2-40B4-BE49-F238E27FC236}">
              <a16:creationId xmlns:a16="http://schemas.microsoft.com/office/drawing/2014/main" id="{00000000-0008-0000-0000-00001600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5974" name="TextBox 5973">
          <a:extLst>
            <a:ext uri="{FF2B5EF4-FFF2-40B4-BE49-F238E27FC236}">
              <a16:creationId xmlns:a16="http://schemas.microsoft.com/office/drawing/2014/main" id="{00000000-0008-0000-0000-00001700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975" name="TextBox 5974">
          <a:extLst>
            <a:ext uri="{FF2B5EF4-FFF2-40B4-BE49-F238E27FC236}">
              <a16:creationId xmlns:a16="http://schemas.microsoft.com/office/drawing/2014/main" id="{00000000-0008-0000-0000-00001800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5976" name="TextBox 5975">
          <a:extLst>
            <a:ext uri="{FF2B5EF4-FFF2-40B4-BE49-F238E27FC236}">
              <a16:creationId xmlns:a16="http://schemas.microsoft.com/office/drawing/2014/main" id="{00000000-0008-0000-0000-00001900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5977" name="TextBox 5976">
          <a:extLst>
            <a:ext uri="{FF2B5EF4-FFF2-40B4-BE49-F238E27FC236}">
              <a16:creationId xmlns:a16="http://schemas.microsoft.com/office/drawing/2014/main" id="{00000000-0008-0000-0000-00001A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5978" name="TextBox 5977">
          <a:extLst>
            <a:ext uri="{FF2B5EF4-FFF2-40B4-BE49-F238E27FC236}">
              <a16:creationId xmlns:a16="http://schemas.microsoft.com/office/drawing/2014/main" id="{00000000-0008-0000-0000-00001B000000}"/>
            </a:ext>
          </a:extLst>
        </xdr:cNvPr>
        <xdr:cNvSpPr txBox="1"/>
      </xdr:nvSpPr>
      <xdr:spPr>
        <a:xfrm>
          <a:off x="8267700" y="3524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173</xdr:row>
      <xdr:rowOff>0</xdr:rowOff>
    </xdr:from>
    <xdr:ext cx="65" cy="172227"/>
    <xdr:sp macro="" textlink="">
      <xdr:nvSpPr>
        <xdr:cNvPr id="5979" name="TextBox 5978">
          <a:extLst>
            <a:ext uri="{FF2B5EF4-FFF2-40B4-BE49-F238E27FC236}">
              <a16:creationId xmlns:a16="http://schemas.microsoft.com/office/drawing/2014/main" id="{00000000-0008-0000-0000-00001C000000}"/>
            </a:ext>
          </a:extLst>
        </xdr:cNvPr>
        <xdr:cNvSpPr txBox="1"/>
      </xdr:nvSpPr>
      <xdr:spPr>
        <a:xfrm>
          <a:off x="8267700" y="3542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173</xdr:row>
      <xdr:rowOff>0</xdr:rowOff>
    </xdr:from>
    <xdr:ext cx="65" cy="172227"/>
    <xdr:sp macro="" textlink="">
      <xdr:nvSpPr>
        <xdr:cNvPr id="5980" name="TextBox 5979">
          <a:extLst>
            <a:ext uri="{FF2B5EF4-FFF2-40B4-BE49-F238E27FC236}">
              <a16:creationId xmlns:a16="http://schemas.microsoft.com/office/drawing/2014/main" id="{00000000-0008-0000-0000-00001D000000}"/>
            </a:ext>
          </a:extLst>
        </xdr:cNvPr>
        <xdr:cNvSpPr txBox="1"/>
      </xdr:nvSpPr>
      <xdr:spPr>
        <a:xfrm>
          <a:off x="8267700" y="3542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5981" name="TextBox 5980">
          <a:extLst>
            <a:ext uri="{FF2B5EF4-FFF2-40B4-BE49-F238E27FC236}">
              <a16:creationId xmlns:a16="http://schemas.microsoft.com/office/drawing/2014/main" id="{00000000-0008-0000-0000-00001E000000}"/>
            </a:ext>
          </a:extLst>
        </xdr:cNvPr>
        <xdr:cNvSpPr txBox="1"/>
      </xdr:nvSpPr>
      <xdr:spPr>
        <a:xfrm>
          <a:off x="8267700" y="36522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5982" name="TextBox 5981">
          <a:extLst>
            <a:ext uri="{FF2B5EF4-FFF2-40B4-BE49-F238E27FC236}">
              <a16:creationId xmlns:a16="http://schemas.microsoft.com/office/drawing/2014/main" id="{00000000-0008-0000-0000-00001F000000}"/>
            </a:ext>
          </a:extLst>
        </xdr:cNvPr>
        <xdr:cNvSpPr txBox="1"/>
      </xdr:nvSpPr>
      <xdr:spPr>
        <a:xfrm>
          <a:off x="8267700" y="36522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5983" name="TextBox 5982">
          <a:extLst>
            <a:ext uri="{FF2B5EF4-FFF2-40B4-BE49-F238E27FC236}">
              <a16:creationId xmlns:a16="http://schemas.microsoft.com/office/drawing/2014/main" id="{00000000-0008-0000-0000-000020000000}"/>
            </a:ext>
          </a:extLst>
        </xdr:cNvPr>
        <xdr:cNvSpPr txBox="1"/>
      </xdr:nvSpPr>
      <xdr:spPr>
        <a:xfrm>
          <a:off x="8267700" y="36705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5984" name="TextBox 5983">
          <a:extLst>
            <a:ext uri="{FF2B5EF4-FFF2-40B4-BE49-F238E27FC236}">
              <a16:creationId xmlns:a16="http://schemas.microsoft.com/office/drawing/2014/main" id="{00000000-0008-0000-0000-000021000000}"/>
            </a:ext>
          </a:extLst>
        </xdr:cNvPr>
        <xdr:cNvSpPr txBox="1"/>
      </xdr:nvSpPr>
      <xdr:spPr>
        <a:xfrm>
          <a:off x="8267700" y="36705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5985" name="TextBox 5984">
          <a:extLst>
            <a:ext uri="{FF2B5EF4-FFF2-40B4-BE49-F238E27FC236}">
              <a16:creationId xmlns:a16="http://schemas.microsoft.com/office/drawing/2014/main" id="{00000000-0008-0000-0000-000022000000}"/>
            </a:ext>
          </a:extLst>
        </xdr:cNvPr>
        <xdr:cNvSpPr txBox="1"/>
      </xdr:nvSpPr>
      <xdr:spPr>
        <a:xfrm>
          <a:off x="8267700" y="3688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5986" name="TextBox 5985">
          <a:extLst>
            <a:ext uri="{FF2B5EF4-FFF2-40B4-BE49-F238E27FC236}">
              <a16:creationId xmlns:a16="http://schemas.microsoft.com/office/drawing/2014/main" id="{00000000-0008-0000-0000-000023000000}"/>
            </a:ext>
          </a:extLst>
        </xdr:cNvPr>
        <xdr:cNvSpPr txBox="1"/>
      </xdr:nvSpPr>
      <xdr:spPr>
        <a:xfrm>
          <a:off x="8267700" y="36888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5987" name="TextBox 5986">
          <a:extLst>
            <a:ext uri="{FF2B5EF4-FFF2-40B4-BE49-F238E27FC236}">
              <a16:creationId xmlns:a16="http://schemas.microsoft.com/office/drawing/2014/main" id="{00000000-0008-0000-0000-000024000000}"/>
            </a:ext>
          </a:extLst>
        </xdr:cNvPr>
        <xdr:cNvSpPr txBox="1"/>
      </xdr:nvSpPr>
      <xdr:spPr>
        <a:xfrm>
          <a:off x="8267700" y="37071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5988" name="TextBox 5987">
          <a:extLst>
            <a:ext uri="{FF2B5EF4-FFF2-40B4-BE49-F238E27FC236}">
              <a16:creationId xmlns:a16="http://schemas.microsoft.com/office/drawing/2014/main" id="{00000000-0008-0000-0000-000025000000}"/>
            </a:ext>
          </a:extLst>
        </xdr:cNvPr>
        <xdr:cNvSpPr txBox="1"/>
      </xdr:nvSpPr>
      <xdr:spPr>
        <a:xfrm>
          <a:off x="8267700" y="37071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183</xdr:row>
      <xdr:rowOff>0</xdr:rowOff>
    </xdr:from>
    <xdr:ext cx="65" cy="172227"/>
    <xdr:sp macro="" textlink="">
      <xdr:nvSpPr>
        <xdr:cNvPr id="5989" name="TextBox 5988">
          <a:extLst>
            <a:ext uri="{FF2B5EF4-FFF2-40B4-BE49-F238E27FC236}">
              <a16:creationId xmlns:a16="http://schemas.microsoft.com/office/drawing/2014/main" id="{00000000-0008-0000-0000-000026000000}"/>
            </a:ext>
          </a:extLst>
        </xdr:cNvPr>
        <xdr:cNvSpPr txBox="1"/>
      </xdr:nvSpPr>
      <xdr:spPr>
        <a:xfrm>
          <a:off x="8267700" y="3725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183</xdr:row>
      <xdr:rowOff>0</xdr:rowOff>
    </xdr:from>
    <xdr:ext cx="65" cy="172227"/>
    <xdr:sp macro="" textlink="">
      <xdr:nvSpPr>
        <xdr:cNvPr id="5990" name="TextBox 5989">
          <a:extLst>
            <a:ext uri="{FF2B5EF4-FFF2-40B4-BE49-F238E27FC236}">
              <a16:creationId xmlns:a16="http://schemas.microsoft.com/office/drawing/2014/main" id="{00000000-0008-0000-0000-000027000000}"/>
            </a:ext>
          </a:extLst>
        </xdr:cNvPr>
        <xdr:cNvSpPr txBox="1"/>
      </xdr:nvSpPr>
      <xdr:spPr>
        <a:xfrm>
          <a:off x="8267700" y="37254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189</xdr:row>
      <xdr:rowOff>0</xdr:rowOff>
    </xdr:from>
    <xdr:ext cx="65" cy="172227"/>
    <xdr:sp macro="" textlink="">
      <xdr:nvSpPr>
        <xdr:cNvPr id="5991" name="TextBox 5990">
          <a:extLst>
            <a:ext uri="{FF2B5EF4-FFF2-40B4-BE49-F238E27FC236}">
              <a16:creationId xmlns:a16="http://schemas.microsoft.com/office/drawing/2014/main" id="{00000000-0008-0000-0000-000028000000}"/>
            </a:ext>
          </a:extLst>
        </xdr:cNvPr>
        <xdr:cNvSpPr txBox="1"/>
      </xdr:nvSpPr>
      <xdr:spPr>
        <a:xfrm>
          <a:off x="8267700" y="3835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189</xdr:row>
      <xdr:rowOff>0</xdr:rowOff>
    </xdr:from>
    <xdr:ext cx="65" cy="172227"/>
    <xdr:sp macro="" textlink="">
      <xdr:nvSpPr>
        <xdr:cNvPr id="5992" name="TextBox 5991">
          <a:extLst>
            <a:ext uri="{FF2B5EF4-FFF2-40B4-BE49-F238E27FC236}">
              <a16:creationId xmlns:a16="http://schemas.microsoft.com/office/drawing/2014/main" id="{00000000-0008-0000-0000-000029000000}"/>
            </a:ext>
          </a:extLst>
        </xdr:cNvPr>
        <xdr:cNvSpPr txBox="1"/>
      </xdr:nvSpPr>
      <xdr:spPr>
        <a:xfrm>
          <a:off x="8267700" y="38351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190</xdr:row>
      <xdr:rowOff>0</xdr:rowOff>
    </xdr:from>
    <xdr:ext cx="65" cy="172227"/>
    <xdr:sp macro="" textlink="">
      <xdr:nvSpPr>
        <xdr:cNvPr id="5993" name="TextBox 5992">
          <a:extLst>
            <a:ext uri="{FF2B5EF4-FFF2-40B4-BE49-F238E27FC236}">
              <a16:creationId xmlns:a16="http://schemas.microsoft.com/office/drawing/2014/main" id="{00000000-0008-0000-0000-00002A000000}"/>
            </a:ext>
          </a:extLst>
        </xdr:cNvPr>
        <xdr:cNvSpPr txBox="1"/>
      </xdr:nvSpPr>
      <xdr:spPr>
        <a:xfrm>
          <a:off x="8267700" y="38534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190</xdr:row>
      <xdr:rowOff>0</xdr:rowOff>
    </xdr:from>
    <xdr:ext cx="65" cy="172227"/>
    <xdr:sp macro="" textlink="">
      <xdr:nvSpPr>
        <xdr:cNvPr id="5994" name="TextBox 5993">
          <a:extLst>
            <a:ext uri="{FF2B5EF4-FFF2-40B4-BE49-F238E27FC236}">
              <a16:creationId xmlns:a16="http://schemas.microsoft.com/office/drawing/2014/main" id="{00000000-0008-0000-0000-00002B000000}"/>
            </a:ext>
          </a:extLst>
        </xdr:cNvPr>
        <xdr:cNvSpPr txBox="1"/>
      </xdr:nvSpPr>
      <xdr:spPr>
        <a:xfrm>
          <a:off x="8267700" y="38534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191</xdr:row>
      <xdr:rowOff>0</xdr:rowOff>
    </xdr:from>
    <xdr:ext cx="65" cy="172227"/>
    <xdr:sp macro="" textlink="">
      <xdr:nvSpPr>
        <xdr:cNvPr id="5995" name="TextBox 5994">
          <a:extLst>
            <a:ext uri="{FF2B5EF4-FFF2-40B4-BE49-F238E27FC236}">
              <a16:creationId xmlns:a16="http://schemas.microsoft.com/office/drawing/2014/main" id="{00000000-0008-0000-0000-00002C000000}"/>
            </a:ext>
          </a:extLst>
        </xdr:cNvPr>
        <xdr:cNvSpPr txBox="1"/>
      </xdr:nvSpPr>
      <xdr:spPr>
        <a:xfrm>
          <a:off x="8267700" y="38717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191</xdr:row>
      <xdr:rowOff>0</xdr:rowOff>
    </xdr:from>
    <xdr:ext cx="65" cy="172227"/>
    <xdr:sp macro="" textlink="">
      <xdr:nvSpPr>
        <xdr:cNvPr id="5996" name="TextBox 5995">
          <a:extLst>
            <a:ext uri="{FF2B5EF4-FFF2-40B4-BE49-F238E27FC236}">
              <a16:creationId xmlns:a16="http://schemas.microsoft.com/office/drawing/2014/main" id="{00000000-0008-0000-0000-00002D000000}"/>
            </a:ext>
          </a:extLst>
        </xdr:cNvPr>
        <xdr:cNvSpPr txBox="1"/>
      </xdr:nvSpPr>
      <xdr:spPr>
        <a:xfrm>
          <a:off x="8267700" y="38717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192</xdr:row>
      <xdr:rowOff>0</xdr:rowOff>
    </xdr:from>
    <xdr:ext cx="65" cy="172227"/>
    <xdr:sp macro="" textlink="">
      <xdr:nvSpPr>
        <xdr:cNvPr id="5997" name="TextBox 5996">
          <a:extLst>
            <a:ext uri="{FF2B5EF4-FFF2-40B4-BE49-F238E27FC236}">
              <a16:creationId xmlns:a16="http://schemas.microsoft.com/office/drawing/2014/main" id="{00000000-0008-0000-0000-00002E000000}"/>
            </a:ext>
          </a:extLst>
        </xdr:cNvPr>
        <xdr:cNvSpPr txBox="1"/>
      </xdr:nvSpPr>
      <xdr:spPr>
        <a:xfrm>
          <a:off x="8267700" y="38900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192</xdr:row>
      <xdr:rowOff>0</xdr:rowOff>
    </xdr:from>
    <xdr:ext cx="65" cy="172227"/>
    <xdr:sp macro="" textlink="">
      <xdr:nvSpPr>
        <xdr:cNvPr id="5998" name="TextBox 5997">
          <a:extLst>
            <a:ext uri="{FF2B5EF4-FFF2-40B4-BE49-F238E27FC236}">
              <a16:creationId xmlns:a16="http://schemas.microsoft.com/office/drawing/2014/main" id="{00000000-0008-0000-0000-00002F000000}"/>
            </a:ext>
          </a:extLst>
        </xdr:cNvPr>
        <xdr:cNvSpPr txBox="1"/>
      </xdr:nvSpPr>
      <xdr:spPr>
        <a:xfrm>
          <a:off x="8267700" y="38900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193</xdr:row>
      <xdr:rowOff>0</xdr:rowOff>
    </xdr:from>
    <xdr:ext cx="65" cy="172227"/>
    <xdr:sp macro="" textlink="">
      <xdr:nvSpPr>
        <xdr:cNvPr id="5999" name="TextBox 5998">
          <a:extLst>
            <a:ext uri="{FF2B5EF4-FFF2-40B4-BE49-F238E27FC236}">
              <a16:creationId xmlns:a16="http://schemas.microsoft.com/office/drawing/2014/main" id="{00000000-0008-0000-0000-000030000000}"/>
            </a:ext>
          </a:extLst>
        </xdr:cNvPr>
        <xdr:cNvSpPr txBox="1"/>
      </xdr:nvSpPr>
      <xdr:spPr>
        <a:xfrm>
          <a:off x="8267700" y="39082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193</xdr:row>
      <xdr:rowOff>0</xdr:rowOff>
    </xdr:from>
    <xdr:ext cx="65" cy="172227"/>
    <xdr:sp macro="" textlink="">
      <xdr:nvSpPr>
        <xdr:cNvPr id="6000" name="TextBox 5999">
          <a:extLst>
            <a:ext uri="{FF2B5EF4-FFF2-40B4-BE49-F238E27FC236}">
              <a16:creationId xmlns:a16="http://schemas.microsoft.com/office/drawing/2014/main" id="{00000000-0008-0000-0000-000031000000}"/>
            </a:ext>
          </a:extLst>
        </xdr:cNvPr>
        <xdr:cNvSpPr txBox="1"/>
      </xdr:nvSpPr>
      <xdr:spPr>
        <a:xfrm>
          <a:off x="8267700" y="39082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01" name="TextBox 6000">
          <a:extLst>
            <a:ext uri="{FF2B5EF4-FFF2-40B4-BE49-F238E27FC236}">
              <a16:creationId xmlns:a16="http://schemas.microsoft.com/office/drawing/2014/main" id="{00000000-0008-0000-0000-000032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02" name="TextBox 6001">
          <a:extLst>
            <a:ext uri="{FF2B5EF4-FFF2-40B4-BE49-F238E27FC236}">
              <a16:creationId xmlns:a16="http://schemas.microsoft.com/office/drawing/2014/main" id="{00000000-0008-0000-0000-000033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03" name="TextBox 6002">
          <a:extLst>
            <a:ext uri="{FF2B5EF4-FFF2-40B4-BE49-F238E27FC236}">
              <a16:creationId xmlns:a16="http://schemas.microsoft.com/office/drawing/2014/main" id="{00000000-0008-0000-0000-000034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04" name="TextBox 6003">
          <a:extLst>
            <a:ext uri="{FF2B5EF4-FFF2-40B4-BE49-F238E27FC236}">
              <a16:creationId xmlns:a16="http://schemas.microsoft.com/office/drawing/2014/main" id="{00000000-0008-0000-0000-000035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05" name="TextBox 6004">
          <a:extLst>
            <a:ext uri="{FF2B5EF4-FFF2-40B4-BE49-F238E27FC236}">
              <a16:creationId xmlns:a16="http://schemas.microsoft.com/office/drawing/2014/main" id="{00000000-0008-0000-0000-000036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06" name="TextBox 6005">
          <a:extLst>
            <a:ext uri="{FF2B5EF4-FFF2-40B4-BE49-F238E27FC236}">
              <a16:creationId xmlns:a16="http://schemas.microsoft.com/office/drawing/2014/main" id="{00000000-0008-0000-0000-000037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07" name="TextBox 6006">
          <a:extLst>
            <a:ext uri="{FF2B5EF4-FFF2-40B4-BE49-F238E27FC236}">
              <a16:creationId xmlns:a16="http://schemas.microsoft.com/office/drawing/2014/main" id="{00000000-0008-0000-0000-000038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08" name="TextBox 6007">
          <a:extLst>
            <a:ext uri="{FF2B5EF4-FFF2-40B4-BE49-F238E27FC236}">
              <a16:creationId xmlns:a16="http://schemas.microsoft.com/office/drawing/2014/main" id="{00000000-0008-0000-0000-000039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09" name="TextBox 6008">
          <a:extLst>
            <a:ext uri="{FF2B5EF4-FFF2-40B4-BE49-F238E27FC236}">
              <a16:creationId xmlns:a16="http://schemas.microsoft.com/office/drawing/2014/main" id="{00000000-0008-0000-0000-00003A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10" name="TextBox 6009">
          <a:extLst>
            <a:ext uri="{FF2B5EF4-FFF2-40B4-BE49-F238E27FC236}">
              <a16:creationId xmlns:a16="http://schemas.microsoft.com/office/drawing/2014/main" id="{00000000-0008-0000-0000-00003B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11" name="TextBox 6010">
          <a:extLst>
            <a:ext uri="{FF2B5EF4-FFF2-40B4-BE49-F238E27FC236}">
              <a16:creationId xmlns:a16="http://schemas.microsoft.com/office/drawing/2014/main" id="{00000000-0008-0000-0000-00003C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12" name="TextBox 6011">
          <a:extLst>
            <a:ext uri="{FF2B5EF4-FFF2-40B4-BE49-F238E27FC236}">
              <a16:creationId xmlns:a16="http://schemas.microsoft.com/office/drawing/2014/main" id="{00000000-0008-0000-0000-00003D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13" name="TextBox 6012">
          <a:extLst>
            <a:ext uri="{FF2B5EF4-FFF2-40B4-BE49-F238E27FC236}">
              <a16:creationId xmlns:a16="http://schemas.microsoft.com/office/drawing/2014/main" id="{00000000-0008-0000-0000-00003E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14" name="TextBox 6013">
          <a:extLst>
            <a:ext uri="{FF2B5EF4-FFF2-40B4-BE49-F238E27FC236}">
              <a16:creationId xmlns:a16="http://schemas.microsoft.com/office/drawing/2014/main" id="{00000000-0008-0000-0000-00003F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15" name="TextBox 6014">
          <a:extLst>
            <a:ext uri="{FF2B5EF4-FFF2-40B4-BE49-F238E27FC236}">
              <a16:creationId xmlns:a16="http://schemas.microsoft.com/office/drawing/2014/main" id="{00000000-0008-0000-0000-000040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16" name="TextBox 6015">
          <a:extLst>
            <a:ext uri="{FF2B5EF4-FFF2-40B4-BE49-F238E27FC236}">
              <a16:creationId xmlns:a16="http://schemas.microsoft.com/office/drawing/2014/main" id="{00000000-0008-0000-0000-000041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17" name="TextBox 6016">
          <a:extLst>
            <a:ext uri="{FF2B5EF4-FFF2-40B4-BE49-F238E27FC236}">
              <a16:creationId xmlns:a16="http://schemas.microsoft.com/office/drawing/2014/main" id="{00000000-0008-0000-0000-000042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18" name="TextBox 6017">
          <a:extLst>
            <a:ext uri="{FF2B5EF4-FFF2-40B4-BE49-F238E27FC236}">
              <a16:creationId xmlns:a16="http://schemas.microsoft.com/office/drawing/2014/main" id="{00000000-0008-0000-0000-000043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19" name="TextBox 6018">
          <a:extLst>
            <a:ext uri="{FF2B5EF4-FFF2-40B4-BE49-F238E27FC236}">
              <a16:creationId xmlns:a16="http://schemas.microsoft.com/office/drawing/2014/main" id="{00000000-0008-0000-0000-000044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20" name="TextBox 6019">
          <a:extLst>
            <a:ext uri="{FF2B5EF4-FFF2-40B4-BE49-F238E27FC236}">
              <a16:creationId xmlns:a16="http://schemas.microsoft.com/office/drawing/2014/main" id="{00000000-0008-0000-0000-000045000000}"/>
            </a:ext>
          </a:extLst>
        </xdr:cNvPr>
        <xdr:cNvSpPr txBox="1"/>
      </xdr:nvSpPr>
      <xdr:spPr>
        <a:xfrm>
          <a:off x="8267700" y="39814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21" name="TextBox 6020">
          <a:extLst>
            <a:ext uri="{FF2B5EF4-FFF2-40B4-BE49-F238E27FC236}">
              <a16:creationId xmlns:a16="http://schemas.microsoft.com/office/drawing/2014/main" id="{00000000-0008-0000-0000-000048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22" name="TextBox 6021">
          <a:extLst>
            <a:ext uri="{FF2B5EF4-FFF2-40B4-BE49-F238E27FC236}">
              <a16:creationId xmlns:a16="http://schemas.microsoft.com/office/drawing/2014/main" id="{00000000-0008-0000-0000-000049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23" name="TextBox 6022">
          <a:extLst>
            <a:ext uri="{FF2B5EF4-FFF2-40B4-BE49-F238E27FC236}">
              <a16:creationId xmlns:a16="http://schemas.microsoft.com/office/drawing/2014/main" id="{00000000-0008-0000-0000-00004C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24" name="TextBox 6023">
          <a:extLst>
            <a:ext uri="{FF2B5EF4-FFF2-40B4-BE49-F238E27FC236}">
              <a16:creationId xmlns:a16="http://schemas.microsoft.com/office/drawing/2014/main" id="{00000000-0008-0000-0000-00004D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025" name="TextBox 6024">
          <a:extLst>
            <a:ext uri="{FF2B5EF4-FFF2-40B4-BE49-F238E27FC236}">
              <a16:creationId xmlns:a16="http://schemas.microsoft.com/office/drawing/2014/main" id="{00000000-0008-0000-0000-00004E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026" name="TextBox 6025">
          <a:extLst>
            <a:ext uri="{FF2B5EF4-FFF2-40B4-BE49-F238E27FC236}">
              <a16:creationId xmlns:a16="http://schemas.microsoft.com/office/drawing/2014/main" id="{00000000-0008-0000-0000-00004F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027" name="TextBox 6026">
          <a:extLst>
            <a:ext uri="{FF2B5EF4-FFF2-40B4-BE49-F238E27FC236}">
              <a16:creationId xmlns:a16="http://schemas.microsoft.com/office/drawing/2014/main" id="{00000000-0008-0000-0000-000050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028" name="TextBox 6027">
          <a:extLst>
            <a:ext uri="{FF2B5EF4-FFF2-40B4-BE49-F238E27FC236}">
              <a16:creationId xmlns:a16="http://schemas.microsoft.com/office/drawing/2014/main" id="{00000000-0008-0000-0000-000051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029" name="TextBox 6028">
          <a:extLst>
            <a:ext uri="{FF2B5EF4-FFF2-40B4-BE49-F238E27FC236}">
              <a16:creationId xmlns:a16="http://schemas.microsoft.com/office/drawing/2014/main" id="{00000000-0008-0000-0000-000052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030" name="TextBox 6029">
          <a:extLst>
            <a:ext uri="{FF2B5EF4-FFF2-40B4-BE49-F238E27FC236}">
              <a16:creationId xmlns:a16="http://schemas.microsoft.com/office/drawing/2014/main" id="{00000000-0008-0000-0000-000053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31" name="TextBox 6030">
          <a:extLst>
            <a:ext uri="{FF2B5EF4-FFF2-40B4-BE49-F238E27FC236}">
              <a16:creationId xmlns:a16="http://schemas.microsoft.com/office/drawing/2014/main" id="{00000000-0008-0000-0000-000054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32" name="TextBox 6031">
          <a:extLst>
            <a:ext uri="{FF2B5EF4-FFF2-40B4-BE49-F238E27FC236}">
              <a16:creationId xmlns:a16="http://schemas.microsoft.com/office/drawing/2014/main" id="{00000000-0008-0000-0000-000055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33" name="TextBox 6032">
          <a:extLst>
            <a:ext uri="{FF2B5EF4-FFF2-40B4-BE49-F238E27FC236}">
              <a16:creationId xmlns:a16="http://schemas.microsoft.com/office/drawing/2014/main" id="{00000000-0008-0000-0000-000056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34" name="TextBox 6033">
          <a:extLst>
            <a:ext uri="{FF2B5EF4-FFF2-40B4-BE49-F238E27FC236}">
              <a16:creationId xmlns:a16="http://schemas.microsoft.com/office/drawing/2014/main" id="{00000000-0008-0000-0000-00005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35" name="TextBox 6034">
          <a:extLst>
            <a:ext uri="{FF2B5EF4-FFF2-40B4-BE49-F238E27FC236}">
              <a16:creationId xmlns:a16="http://schemas.microsoft.com/office/drawing/2014/main" id="{00000000-0008-0000-0000-000058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36" name="TextBox 6035">
          <a:extLst>
            <a:ext uri="{FF2B5EF4-FFF2-40B4-BE49-F238E27FC236}">
              <a16:creationId xmlns:a16="http://schemas.microsoft.com/office/drawing/2014/main" id="{00000000-0008-0000-0000-000059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37" name="TextBox 6036">
          <a:extLst>
            <a:ext uri="{FF2B5EF4-FFF2-40B4-BE49-F238E27FC236}">
              <a16:creationId xmlns:a16="http://schemas.microsoft.com/office/drawing/2014/main" id="{00000000-0008-0000-0000-00005A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38" name="TextBox 6037">
          <a:extLst>
            <a:ext uri="{FF2B5EF4-FFF2-40B4-BE49-F238E27FC236}">
              <a16:creationId xmlns:a16="http://schemas.microsoft.com/office/drawing/2014/main" id="{00000000-0008-0000-0000-00005B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39" name="TextBox 6038">
          <a:extLst>
            <a:ext uri="{FF2B5EF4-FFF2-40B4-BE49-F238E27FC236}">
              <a16:creationId xmlns:a16="http://schemas.microsoft.com/office/drawing/2014/main" id="{00000000-0008-0000-0000-00005C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40" name="TextBox 6039">
          <a:extLst>
            <a:ext uri="{FF2B5EF4-FFF2-40B4-BE49-F238E27FC236}">
              <a16:creationId xmlns:a16="http://schemas.microsoft.com/office/drawing/2014/main" id="{00000000-0008-0000-0000-00005D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41" name="TextBox 6040">
          <a:extLst>
            <a:ext uri="{FF2B5EF4-FFF2-40B4-BE49-F238E27FC236}">
              <a16:creationId xmlns:a16="http://schemas.microsoft.com/office/drawing/2014/main" id="{00000000-0008-0000-0000-00005E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42" name="TextBox 6041">
          <a:extLst>
            <a:ext uri="{FF2B5EF4-FFF2-40B4-BE49-F238E27FC236}">
              <a16:creationId xmlns:a16="http://schemas.microsoft.com/office/drawing/2014/main" id="{00000000-0008-0000-0000-00005F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043" name="TextBox 6042">
          <a:extLst>
            <a:ext uri="{FF2B5EF4-FFF2-40B4-BE49-F238E27FC236}">
              <a16:creationId xmlns:a16="http://schemas.microsoft.com/office/drawing/2014/main" id="{00000000-0008-0000-0000-000060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044" name="TextBox 6043">
          <a:extLst>
            <a:ext uri="{FF2B5EF4-FFF2-40B4-BE49-F238E27FC236}">
              <a16:creationId xmlns:a16="http://schemas.microsoft.com/office/drawing/2014/main" id="{00000000-0008-0000-0000-000061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045" name="TextBox 6044">
          <a:extLst>
            <a:ext uri="{FF2B5EF4-FFF2-40B4-BE49-F238E27FC236}">
              <a16:creationId xmlns:a16="http://schemas.microsoft.com/office/drawing/2014/main" id="{00000000-0008-0000-0000-000062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046" name="TextBox 6045">
          <a:extLst>
            <a:ext uri="{FF2B5EF4-FFF2-40B4-BE49-F238E27FC236}">
              <a16:creationId xmlns:a16="http://schemas.microsoft.com/office/drawing/2014/main" id="{00000000-0008-0000-0000-000063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47" name="TextBox 6046">
          <a:extLst>
            <a:ext uri="{FF2B5EF4-FFF2-40B4-BE49-F238E27FC236}">
              <a16:creationId xmlns:a16="http://schemas.microsoft.com/office/drawing/2014/main" id="{00000000-0008-0000-0000-000064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48" name="TextBox 6047">
          <a:extLst>
            <a:ext uri="{FF2B5EF4-FFF2-40B4-BE49-F238E27FC236}">
              <a16:creationId xmlns:a16="http://schemas.microsoft.com/office/drawing/2014/main" id="{00000000-0008-0000-0000-000065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49" name="TextBox 6048">
          <a:extLst>
            <a:ext uri="{FF2B5EF4-FFF2-40B4-BE49-F238E27FC236}">
              <a16:creationId xmlns:a16="http://schemas.microsoft.com/office/drawing/2014/main" id="{00000000-0008-0000-0000-000066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50" name="TextBox 6049">
          <a:extLst>
            <a:ext uri="{FF2B5EF4-FFF2-40B4-BE49-F238E27FC236}">
              <a16:creationId xmlns:a16="http://schemas.microsoft.com/office/drawing/2014/main" id="{00000000-0008-0000-0000-00006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51" name="TextBox 6050">
          <a:extLst>
            <a:ext uri="{FF2B5EF4-FFF2-40B4-BE49-F238E27FC236}">
              <a16:creationId xmlns:a16="http://schemas.microsoft.com/office/drawing/2014/main" id="{00000000-0008-0000-0000-000068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52" name="TextBox 6051">
          <a:extLst>
            <a:ext uri="{FF2B5EF4-FFF2-40B4-BE49-F238E27FC236}">
              <a16:creationId xmlns:a16="http://schemas.microsoft.com/office/drawing/2014/main" id="{00000000-0008-0000-0000-000069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53" name="TextBox 6052">
          <a:extLst>
            <a:ext uri="{FF2B5EF4-FFF2-40B4-BE49-F238E27FC236}">
              <a16:creationId xmlns:a16="http://schemas.microsoft.com/office/drawing/2014/main" id="{00000000-0008-0000-0000-00006A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54" name="TextBox 6053">
          <a:extLst>
            <a:ext uri="{FF2B5EF4-FFF2-40B4-BE49-F238E27FC236}">
              <a16:creationId xmlns:a16="http://schemas.microsoft.com/office/drawing/2014/main" id="{00000000-0008-0000-0000-00006B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55" name="TextBox 6054">
          <a:extLst>
            <a:ext uri="{FF2B5EF4-FFF2-40B4-BE49-F238E27FC236}">
              <a16:creationId xmlns:a16="http://schemas.microsoft.com/office/drawing/2014/main" id="{00000000-0008-0000-0000-00006C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56" name="TextBox 6055">
          <a:extLst>
            <a:ext uri="{FF2B5EF4-FFF2-40B4-BE49-F238E27FC236}">
              <a16:creationId xmlns:a16="http://schemas.microsoft.com/office/drawing/2014/main" id="{00000000-0008-0000-0000-00006D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57" name="TextBox 6056">
          <a:extLst>
            <a:ext uri="{FF2B5EF4-FFF2-40B4-BE49-F238E27FC236}">
              <a16:creationId xmlns:a16="http://schemas.microsoft.com/office/drawing/2014/main" id="{00000000-0008-0000-0000-00006E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58" name="TextBox 6057">
          <a:extLst>
            <a:ext uri="{FF2B5EF4-FFF2-40B4-BE49-F238E27FC236}">
              <a16:creationId xmlns:a16="http://schemas.microsoft.com/office/drawing/2014/main" id="{00000000-0008-0000-0000-00006F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59" name="TextBox 6058">
          <a:extLst>
            <a:ext uri="{FF2B5EF4-FFF2-40B4-BE49-F238E27FC236}">
              <a16:creationId xmlns:a16="http://schemas.microsoft.com/office/drawing/2014/main" id="{00000000-0008-0000-0000-000070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60" name="TextBox 6059">
          <a:extLst>
            <a:ext uri="{FF2B5EF4-FFF2-40B4-BE49-F238E27FC236}">
              <a16:creationId xmlns:a16="http://schemas.microsoft.com/office/drawing/2014/main" id="{00000000-0008-0000-0000-000071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61" name="TextBox 6060">
          <a:extLst>
            <a:ext uri="{FF2B5EF4-FFF2-40B4-BE49-F238E27FC236}">
              <a16:creationId xmlns:a16="http://schemas.microsoft.com/office/drawing/2014/main" id="{00000000-0008-0000-0000-000072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62" name="TextBox 6061">
          <a:extLst>
            <a:ext uri="{FF2B5EF4-FFF2-40B4-BE49-F238E27FC236}">
              <a16:creationId xmlns:a16="http://schemas.microsoft.com/office/drawing/2014/main" id="{00000000-0008-0000-0000-000073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63" name="TextBox 6062">
          <a:extLst>
            <a:ext uri="{FF2B5EF4-FFF2-40B4-BE49-F238E27FC236}">
              <a16:creationId xmlns:a16="http://schemas.microsoft.com/office/drawing/2014/main" id="{00000000-0008-0000-0000-000074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64" name="TextBox 6063">
          <a:extLst>
            <a:ext uri="{FF2B5EF4-FFF2-40B4-BE49-F238E27FC236}">
              <a16:creationId xmlns:a16="http://schemas.microsoft.com/office/drawing/2014/main" id="{00000000-0008-0000-0000-000075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65" name="TextBox 6064">
          <a:extLst>
            <a:ext uri="{FF2B5EF4-FFF2-40B4-BE49-F238E27FC236}">
              <a16:creationId xmlns:a16="http://schemas.microsoft.com/office/drawing/2014/main" id="{00000000-0008-0000-0000-000076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66" name="TextBox 6065">
          <a:extLst>
            <a:ext uri="{FF2B5EF4-FFF2-40B4-BE49-F238E27FC236}">
              <a16:creationId xmlns:a16="http://schemas.microsoft.com/office/drawing/2014/main" id="{00000000-0008-0000-0000-000077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67" name="TextBox 6066">
          <a:extLst>
            <a:ext uri="{FF2B5EF4-FFF2-40B4-BE49-F238E27FC236}">
              <a16:creationId xmlns:a16="http://schemas.microsoft.com/office/drawing/2014/main" id="{00000000-0008-0000-0000-000078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68" name="TextBox 6067">
          <a:extLst>
            <a:ext uri="{FF2B5EF4-FFF2-40B4-BE49-F238E27FC236}">
              <a16:creationId xmlns:a16="http://schemas.microsoft.com/office/drawing/2014/main" id="{00000000-0008-0000-0000-000079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69" name="TextBox 6068">
          <a:extLst>
            <a:ext uri="{FF2B5EF4-FFF2-40B4-BE49-F238E27FC236}">
              <a16:creationId xmlns:a16="http://schemas.microsoft.com/office/drawing/2014/main" id="{00000000-0008-0000-0000-00007A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70" name="TextBox 6069">
          <a:extLst>
            <a:ext uri="{FF2B5EF4-FFF2-40B4-BE49-F238E27FC236}">
              <a16:creationId xmlns:a16="http://schemas.microsoft.com/office/drawing/2014/main" id="{00000000-0008-0000-0000-00007B00000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071" name="TextBox 6070">
          <a:extLst>
            <a:ext uri="{FF2B5EF4-FFF2-40B4-BE49-F238E27FC236}">
              <a16:creationId xmlns:a16="http://schemas.microsoft.com/office/drawing/2014/main" id="{00000000-0008-0000-0000-00007C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072" name="TextBox 6071">
          <a:extLst>
            <a:ext uri="{FF2B5EF4-FFF2-40B4-BE49-F238E27FC236}">
              <a16:creationId xmlns:a16="http://schemas.microsoft.com/office/drawing/2014/main" id="{00000000-0008-0000-0000-00007D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073" name="TextBox 6072">
          <a:extLst>
            <a:ext uri="{FF2B5EF4-FFF2-40B4-BE49-F238E27FC236}">
              <a16:creationId xmlns:a16="http://schemas.microsoft.com/office/drawing/2014/main" id="{00000000-0008-0000-0000-00007E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074" name="TextBox 6073">
          <a:extLst>
            <a:ext uri="{FF2B5EF4-FFF2-40B4-BE49-F238E27FC236}">
              <a16:creationId xmlns:a16="http://schemas.microsoft.com/office/drawing/2014/main" id="{00000000-0008-0000-0000-00007F00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75" name="TextBox 6074">
          <a:extLst>
            <a:ext uri="{FF2B5EF4-FFF2-40B4-BE49-F238E27FC236}">
              <a16:creationId xmlns:a16="http://schemas.microsoft.com/office/drawing/2014/main" id="{00000000-0008-0000-0000-000080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76" name="TextBox 6075">
          <a:extLst>
            <a:ext uri="{FF2B5EF4-FFF2-40B4-BE49-F238E27FC236}">
              <a16:creationId xmlns:a16="http://schemas.microsoft.com/office/drawing/2014/main" id="{00000000-0008-0000-0000-000081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77" name="TextBox 6076">
          <a:extLst>
            <a:ext uri="{FF2B5EF4-FFF2-40B4-BE49-F238E27FC236}">
              <a16:creationId xmlns:a16="http://schemas.microsoft.com/office/drawing/2014/main" id="{00000000-0008-0000-0000-000082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78" name="TextBox 6077">
          <a:extLst>
            <a:ext uri="{FF2B5EF4-FFF2-40B4-BE49-F238E27FC236}">
              <a16:creationId xmlns:a16="http://schemas.microsoft.com/office/drawing/2014/main" id="{00000000-0008-0000-0000-000083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79" name="TextBox 6078">
          <a:extLst>
            <a:ext uri="{FF2B5EF4-FFF2-40B4-BE49-F238E27FC236}">
              <a16:creationId xmlns:a16="http://schemas.microsoft.com/office/drawing/2014/main" id="{00000000-0008-0000-0000-000084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80" name="TextBox 6079">
          <a:extLst>
            <a:ext uri="{FF2B5EF4-FFF2-40B4-BE49-F238E27FC236}">
              <a16:creationId xmlns:a16="http://schemas.microsoft.com/office/drawing/2014/main" id="{00000000-0008-0000-0000-000085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81" name="TextBox 6080">
          <a:extLst>
            <a:ext uri="{FF2B5EF4-FFF2-40B4-BE49-F238E27FC236}">
              <a16:creationId xmlns:a16="http://schemas.microsoft.com/office/drawing/2014/main" id="{00000000-0008-0000-0000-000086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82" name="TextBox 6081">
          <a:extLst>
            <a:ext uri="{FF2B5EF4-FFF2-40B4-BE49-F238E27FC236}">
              <a16:creationId xmlns:a16="http://schemas.microsoft.com/office/drawing/2014/main" id="{00000000-0008-0000-0000-000087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83" name="TextBox 6082">
          <a:extLst>
            <a:ext uri="{FF2B5EF4-FFF2-40B4-BE49-F238E27FC236}">
              <a16:creationId xmlns:a16="http://schemas.microsoft.com/office/drawing/2014/main" id="{00000000-0008-0000-0000-000088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84" name="TextBox 6083">
          <a:extLst>
            <a:ext uri="{FF2B5EF4-FFF2-40B4-BE49-F238E27FC236}">
              <a16:creationId xmlns:a16="http://schemas.microsoft.com/office/drawing/2014/main" id="{00000000-0008-0000-0000-000089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85" name="TextBox 6084">
          <a:extLst>
            <a:ext uri="{FF2B5EF4-FFF2-40B4-BE49-F238E27FC236}">
              <a16:creationId xmlns:a16="http://schemas.microsoft.com/office/drawing/2014/main" id="{00000000-0008-0000-0000-00008A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086" name="TextBox 6085">
          <a:extLst>
            <a:ext uri="{FF2B5EF4-FFF2-40B4-BE49-F238E27FC236}">
              <a16:creationId xmlns:a16="http://schemas.microsoft.com/office/drawing/2014/main" id="{00000000-0008-0000-0000-00008B000000}"/>
            </a:ext>
          </a:extLst>
        </xdr:cNvPr>
        <xdr:cNvSpPr txBox="1"/>
      </xdr:nvSpPr>
      <xdr:spPr>
        <a:xfrm>
          <a:off x="826770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87" name="TextBox 6086">
          <a:extLst>
            <a:ext uri="{FF2B5EF4-FFF2-40B4-BE49-F238E27FC236}">
              <a16:creationId xmlns:a16="http://schemas.microsoft.com/office/drawing/2014/main" id="{00000000-0008-0000-0000-00008C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88" name="TextBox 6087">
          <a:extLst>
            <a:ext uri="{FF2B5EF4-FFF2-40B4-BE49-F238E27FC236}">
              <a16:creationId xmlns:a16="http://schemas.microsoft.com/office/drawing/2014/main" id="{00000000-0008-0000-0000-00008D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89" name="TextBox 6088">
          <a:extLst>
            <a:ext uri="{FF2B5EF4-FFF2-40B4-BE49-F238E27FC236}">
              <a16:creationId xmlns:a16="http://schemas.microsoft.com/office/drawing/2014/main" id="{00000000-0008-0000-0000-00008E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90" name="TextBox 6089">
          <a:extLst>
            <a:ext uri="{FF2B5EF4-FFF2-40B4-BE49-F238E27FC236}">
              <a16:creationId xmlns:a16="http://schemas.microsoft.com/office/drawing/2014/main" id="{00000000-0008-0000-0000-00008F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91" name="TextBox 6090">
          <a:extLst>
            <a:ext uri="{FF2B5EF4-FFF2-40B4-BE49-F238E27FC236}">
              <a16:creationId xmlns:a16="http://schemas.microsoft.com/office/drawing/2014/main" id="{00000000-0008-0000-0000-000090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92" name="TextBox 6091">
          <a:extLst>
            <a:ext uri="{FF2B5EF4-FFF2-40B4-BE49-F238E27FC236}">
              <a16:creationId xmlns:a16="http://schemas.microsoft.com/office/drawing/2014/main" id="{00000000-0008-0000-0000-000091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93" name="TextBox 6092">
          <a:extLst>
            <a:ext uri="{FF2B5EF4-FFF2-40B4-BE49-F238E27FC236}">
              <a16:creationId xmlns:a16="http://schemas.microsoft.com/office/drawing/2014/main" id="{00000000-0008-0000-0000-000092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94" name="TextBox 6093">
          <a:extLst>
            <a:ext uri="{FF2B5EF4-FFF2-40B4-BE49-F238E27FC236}">
              <a16:creationId xmlns:a16="http://schemas.microsoft.com/office/drawing/2014/main" id="{00000000-0008-0000-0000-000093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95" name="TextBox 6094">
          <a:extLst>
            <a:ext uri="{FF2B5EF4-FFF2-40B4-BE49-F238E27FC236}">
              <a16:creationId xmlns:a16="http://schemas.microsoft.com/office/drawing/2014/main" id="{00000000-0008-0000-0000-000094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96" name="TextBox 6095">
          <a:extLst>
            <a:ext uri="{FF2B5EF4-FFF2-40B4-BE49-F238E27FC236}">
              <a16:creationId xmlns:a16="http://schemas.microsoft.com/office/drawing/2014/main" id="{00000000-0008-0000-0000-000095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97" name="TextBox 6096">
          <a:extLst>
            <a:ext uri="{FF2B5EF4-FFF2-40B4-BE49-F238E27FC236}">
              <a16:creationId xmlns:a16="http://schemas.microsoft.com/office/drawing/2014/main" id="{00000000-0008-0000-0000-000096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98" name="TextBox 6097">
          <a:extLst>
            <a:ext uri="{FF2B5EF4-FFF2-40B4-BE49-F238E27FC236}">
              <a16:creationId xmlns:a16="http://schemas.microsoft.com/office/drawing/2014/main" id="{00000000-0008-0000-0000-00009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099" name="TextBox 6098">
          <a:extLst>
            <a:ext uri="{FF2B5EF4-FFF2-40B4-BE49-F238E27FC236}">
              <a16:creationId xmlns:a16="http://schemas.microsoft.com/office/drawing/2014/main" id="{00000000-0008-0000-0000-000098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00" name="TextBox 6099">
          <a:extLst>
            <a:ext uri="{FF2B5EF4-FFF2-40B4-BE49-F238E27FC236}">
              <a16:creationId xmlns:a16="http://schemas.microsoft.com/office/drawing/2014/main" id="{00000000-0008-0000-0000-000099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01" name="TextBox 6100">
          <a:extLst>
            <a:ext uri="{FF2B5EF4-FFF2-40B4-BE49-F238E27FC236}">
              <a16:creationId xmlns:a16="http://schemas.microsoft.com/office/drawing/2014/main" id="{00000000-0008-0000-0000-00009A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02" name="TextBox 6101">
          <a:extLst>
            <a:ext uri="{FF2B5EF4-FFF2-40B4-BE49-F238E27FC236}">
              <a16:creationId xmlns:a16="http://schemas.microsoft.com/office/drawing/2014/main" id="{00000000-0008-0000-0000-00009B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03" name="TextBox 6102">
          <a:extLst>
            <a:ext uri="{FF2B5EF4-FFF2-40B4-BE49-F238E27FC236}">
              <a16:creationId xmlns:a16="http://schemas.microsoft.com/office/drawing/2014/main" id="{00000000-0008-0000-0000-00009C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04" name="TextBox 6103">
          <a:extLst>
            <a:ext uri="{FF2B5EF4-FFF2-40B4-BE49-F238E27FC236}">
              <a16:creationId xmlns:a16="http://schemas.microsoft.com/office/drawing/2014/main" id="{00000000-0008-0000-0000-00009D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05" name="TextBox 6104">
          <a:extLst>
            <a:ext uri="{FF2B5EF4-FFF2-40B4-BE49-F238E27FC236}">
              <a16:creationId xmlns:a16="http://schemas.microsoft.com/office/drawing/2014/main" id="{00000000-0008-0000-0000-00009E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06" name="TextBox 6105">
          <a:extLst>
            <a:ext uri="{FF2B5EF4-FFF2-40B4-BE49-F238E27FC236}">
              <a16:creationId xmlns:a16="http://schemas.microsoft.com/office/drawing/2014/main" id="{00000000-0008-0000-0000-00009F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07" name="TextBox 6106">
          <a:extLst>
            <a:ext uri="{FF2B5EF4-FFF2-40B4-BE49-F238E27FC236}">
              <a16:creationId xmlns:a16="http://schemas.microsoft.com/office/drawing/2014/main" id="{00000000-0008-0000-0000-0000A0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08" name="TextBox 6107">
          <a:extLst>
            <a:ext uri="{FF2B5EF4-FFF2-40B4-BE49-F238E27FC236}">
              <a16:creationId xmlns:a16="http://schemas.microsoft.com/office/drawing/2014/main" id="{00000000-0008-0000-0000-0000A1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09" name="TextBox 6108">
          <a:extLst>
            <a:ext uri="{FF2B5EF4-FFF2-40B4-BE49-F238E27FC236}">
              <a16:creationId xmlns:a16="http://schemas.microsoft.com/office/drawing/2014/main" id="{00000000-0008-0000-0000-0000A2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10" name="TextBox 6109">
          <a:extLst>
            <a:ext uri="{FF2B5EF4-FFF2-40B4-BE49-F238E27FC236}">
              <a16:creationId xmlns:a16="http://schemas.microsoft.com/office/drawing/2014/main" id="{00000000-0008-0000-0000-0000A3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11" name="TextBox 6110">
          <a:extLst>
            <a:ext uri="{FF2B5EF4-FFF2-40B4-BE49-F238E27FC236}">
              <a16:creationId xmlns:a16="http://schemas.microsoft.com/office/drawing/2014/main" id="{00000000-0008-0000-0000-0000A4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12" name="TextBox 6111">
          <a:extLst>
            <a:ext uri="{FF2B5EF4-FFF2-40B4-BE49-F238E27FC236}">
              <a16:creationId xmlns:a16="http://schemas.microsoft.com/office/drawing/2014/main" id="{00000000-0008-0000-0000-0000A5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13" name="TextBox 6112">
          <a:extLst>
            <a:ext uri="{FF2B5EF4-FFF2-40B4-BE49-F238E27FC236}">
              <a16:creationId xmlns:a16="http://schemas.microsoft.com/office/drawing/2014/main" id="{00000000-0008-0000-0000-0000A6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14" name="TextBox 6113">
          <a:extLst>
            <a:ext uri="{FF2B5EF4-FFF2-40B4-BE49-F238E27FC236}">
              <a16:creationId xmlns:a16="http://schemas.microsoft.com/office/drawing/2014/main" id="{00000000-0008-0000-0000-0000A7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15" name="TextBox 6114">
          <a:extLst>
            <a:ext uri="{FF2B5EF4-FFF2-40B4-BE49-F238E27FC236}">
              <a16:creationId xmlns:a16="http://schemas.microsoft.com/office/drawing/2014/main" id="{00000000-0008-0000-0000-0000A8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16" name="TextBox 6115">
          <a:extLst>
            <a:ext uri="{FF2B5EF4-FFF2-40B4-BE49-F238E27FC236}">
              <a16:creationId xmlns:a16="http://schemas.microsoft.com/office/drawing/2014/main" id="{00000000-0008-0000-0000-0000A9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17" name="TextBox 6116">
          <a:extLst>
            <a:ext uri="{FF2B5EF4-FFF2-40B4-BE49-F238E27FC236}">
              <a16:creationId xmlns:a16="http://schemas.microsoft.com/office/drawing/2014/main" id="{00000000-0008-0000-0000-0000AA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18" name="TextBox 6117">
          <a:extLst>
            <a:ext uri="{FF2B5EF4-FFF2-40B4-BE49-F238E27FC236}">
              <a16:creationId xmlns:a16="http://schemas.microsoft.com/office/drawing/2014/main" id="{00000000-0008-0000-0000-0000AB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19" name="TextBox 6118">
          <a:extLst>
            <a:ext uri="{FF2B5EF4-FFF2-40B4-BE49-F238E27FC236}">
              <a16:creationId xmlns:a16="http://schemas.microsoft.com/office/drawing/2014/main" id="{00000000-0008-0000-0000-0000AC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20" name="TextBox 6119">
          <a:extLst>
            <a:ext uri="{FF2B5EF4-FFF2-40B4-BE49-F238E27FC236}">
              <a16:creationId xmlns:a16="http://schemas.microsoft.com/office/drawing/2014/main" id="{00000000-0008-0000-0000-0000AD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21" name="TextBox 6120">
          <a:extLst>
            <a:ext uri="{FF2B5EF4-FFF2-40B4-BE49-F238E27FC236}">
              <a16:creationId xmlns:a16="http://schemas.microsoft.com/office/drawing/2014/main" id="{00000000-0008-0000-0000-0000AE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22" name="TextBox 6121">
          <a:extLst>
            <a:ext uri="{FF2B5EF4-FFF2-40B4-BE49-F238E27FC236}">
              <a16:creationId xmlns:a16="http://schemas.microsoft.com/office/drawing/2014/main" id="{00000000-0008-0000-0000-0000AF000000}"/>
            </a:ext>
          </a:extLst>
        </xdr:cNvPr>
        <xdr:cNvSpPr txBox="1"/>
      </xdr:nvSpPr>
      <xdr:spPr>
        <a:xfrm>
          <a:off x="826770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23" name="TextBox 6122">
          <a:extLst>
            <a:ext uri="{FF2B5EF4-FFF2-40B4-BE49-F238E27FC236}">
              <a16:creationId xmlns:a16="http://schemas.microsoft.com/office/drawing/2014/main" id="{00000000-0008-0000-0000-0000B0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24" name="TextBox 6123">
          <a:extLst>
            <a:ext uri="{FF2B5EF4-FFF2-40B4-BE49-F238E27FC236}">
              <a16:creationId xmlns:a16="http://schemas.microsoft.com/office/drawing/2014/main" id="{00000000-0008-0000-0000-0000B1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25" name="TextBox 6124">
          <a:extLst>
            <a:ext uri="{FF2B5EF4-FFF2-40B4-BE49-F238E27FC236}">
              <a16:creationId xmlns:a16="http://schemas.microsoft.com/office/drawing/2014/main" id="{00000000-0008-0000-0000-0000B2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26" name="TextBox 6125">
          <a:extLst>
            <a:ext uri="{FF2B5EF4-FFF2-40B4-BE49-F238E27FC236}">
              <a16:creationId xmlns:a16="http://schemas.microsoft.com/office/drawing/2014/main" id="{00000000-0008-0000-0000-0000B3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27" name="TextBox 6126">
          <a:extLst>
            <a:ext uri="{FF2B5EF4-FFF2-40B4-BE49-F238E27FC236}">
              <a16:creationId xmlns:a16="http://schemas.microsoft.com/office/drawing/2014/main" id="{00000000-0008-0000-0000-0000B4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28" name="TextBox 6127">
          <a:extLst>
            <a:ext uri="{FF2B5EF4-FFF2-40B4-BE49-F238E27FC236}">
              <a16:creationId xmlns:a16="http://schemas.microsoft.com/office/drawing/2014/main" id="{00000000-0008-0000-0000-0000B5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29" name="TextBox 6128">
          <a:extLst>
            <a:ext uri="{FF2B5EF4-FFF2-40B4-BE49-F238E27FC236}">
              <a16:creationId xmlns:a16="http://schemas.microsoft.com/office/drawing/2014/main" id="{00000000-0008-0000-0000-0000B6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130" name="TextBox 6129">
          <a:extLst>
            <a:ext uri="{FF2B5EF4-FFF2-40B4-BE49-F238E27FC236}">
              <a16:creationId xmlns:a16="http://schemas.microsoft.com/office/drawing/2014/main" id="{00000000-0008-0000-0000-0000B700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31" name="TextBox 6130">
          <a:extLst>
            <a:ext uri="{FF2B5EF4-FFF2-40B4-BE49-F238E27FC236}">
              <a16:creationId xmlns:a16="http://schemas.microsoft.com/office/drawing/2014/main" id="{00000000-0008-0000-0000-0000B8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32" name="TextBox 6131">
          <a:extLst>
            <a:ext uri="{FF2B5EF4-FFF2-40B4-BE49-F238E27FC236}">
              <a16:creationId xmlns:a16="http://schemas.microsoft.com/office/drawing/2014/main" id="{00000000-0008-0000-0000-0000B9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33" name="TextBox 6132">
          <a:extLst>
            <a:ext uri="{FF2B5EF4-FFF2-40B4-BE49-F238E27FC236}">
              <a16:creationId xmlns:a16="http://schemas.microsoft.com/office/drawing/2014/main" id="{00000000-0008-0000-0000-0000BA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34" name="TextBox 6133">
          <a:extLst>
            <a:ext uri="{FF2B5EF4-FFF2-40B4-BE49-F238E27FC236}">
              <a16:creationId xmlns:a16="http://schemas.microsoft.com/office/drawing/2014/main" id="{00000000-0008-0000-0000-0000BB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35" name="TextBox 6134">
          <a:extLst>
            <a:ext uri="{FF2B5EF4-FFF2-40B4-BE49-F238E27FC236}">
              <a16:creationId xmlns:a16="http://schemas.microsoft.com/office/drawing/2014/main" id="{00000000-0008-0000-0000-0000BC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36" name="TextBox 6135">
          <a:extLst>
            <a:ext uri="{FF2B5EF4-FFF2-40B4-BE49-F238E27FC236}">
              <a16:creationId xmlns:a16="http://schemas.microsoft.com/office/drawing/2014/main" id="{00000000-0008-0000-0000-0000BD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37" name="TextBox 6136">
          <a:extLst>
            <a:ext uri="{FF2B5EF4-FFF2-40B4-BE49-F238E27FC236}">
              <a16:creationId xmlns:a16="http://schemas.microsoft.com/office/drawing/2014/main" id="{00000000-0008-0000-0000-0000BE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38" name="TextBox 6137">
          <a:extLst>
            <a:ext uri="{FF2B5EF4-FFF2-40B4-BE49-F238E27FC236}">
              <a16:creationId xmlns:a16="http://schemas.microsoft.com/office/drawing/2014/main" id="{00000000-0008-0000-0000-0000BF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39" name="TextBox 6138">
          <a:extLst>
            <a:ext uri="{FF2B5EF4-FFF2-40B4-BE49-F238E27FC236}">
              <a16:creationId xmlns:a16="http://schemas.microsoft.com/office/drawing/2014/main" id="{00000000-0008-0000-0000-0000C0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40" name="TextBox 6139">
          <a:extLst>
            <a:ext uri="{FF2B5EF4-FFF2-40B4-BE49-F238E27FC236}">
              <a16:creationId xmlns:a16="http://schemas.microsoft.com/office/drawing/2014/main" id="{00000000-0008-0000-0000-0000C1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41" name="TextBox 6140">
          <a:extLst>
            <a:ext uri="{FF2B5EF4-FFF2-40B4-BE49-F238E27FC236}">
              <a16:creationId xmlns:a16="http://schemas.microsoft.com/office/drawing/2014/main" id="{00000000-0008-0000-0000-0000C2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42" name="TextBox 6141">
          <a:extLst>
            <a:ext uri="{FF2B5EF4-FFF2-40B4-BE49-F238E27FC236}">
              <a16:creationId xmlns:a16="http://schemas.microsoft.com/office/drawing/2014/main" id="{00000000-0008-0000-0000-0000C3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43" name="TextBox 6142">
          <a:extLst>
            <a:ext uri="{FF2B5EF4-FFF2-40B4-BE49-F238E27FC236}">
              <a16:creationId xmlns:a16="http://schemas.microsoft.com/office/drawing/2014/main" id="{00000000-0008-0000-0000-0000C4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44" name="TextBox 6143">
          <a:extLst>
            <a:ext uri="{FF2B5EF4-FFF2-40B4-BE49-F238E27FC236}">
              <a16:creationId xmlns:a16="http://schemas.microsoft.com/office/drawing/2014/main" id="{00000000-0008-0000-0000-0000C5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45" name="TextBox 6144">
          <a:extLst>
            <a:ext uri="{FF2B5EF4-FFF2-40B4-BE49-F238E27FC236}">
              <a16:creationId xmlns:a16="http://schemas.microsoft.com/office/drawing/2014/main" id="{00000000-0008-0000-0000-0000C6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46" name="TextBox 6145">
          <a:extLst>
            <a:ext uri="{FF2B5EF4-FFF2-40B4-BE49-F238E27FC236}">
              <a16:creationId xmlns:a16="http://schemas.microsoft.com/office/drawing/2014/main" id="{00000000-0008-0000-0000-0000C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47" name="TextBox 6146">
          <a:extLst>
            <a:ext uri="{FF2B5EF4-FFF2-40B4-BE49-F238E27FC236}">
              <a16:creationId xmlns:a16="http://schemas.microsoft.com/office/drawing/2014/main" id="{00000000-0008-0000-0000-0000C8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48" name="TextBox 6147">
          <a:extLst>
            <a:ext uri="{FF2B5EF4-FFF2-40B4-BE49-F238E27FC236}">
              <a16:creationId xmlns:a16="http://schemas.microsoft.com/office/drawing/2014/main" id="{00000000-0008-0000-0000-0000C9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49" name="TextBox 6148">
          <a:extLst>
            <a:ext uri="{FF2B5EF4-FFF2-40B4-BE49-F238E27FC236}">
              <a16:creationId xmlns:a16="http://schemas.microsoft.com/office/drawing/2014/main" id="{00000000-0008-0000-0000-0000CA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50" name="TextBox 6149">
          <a:extLst>
            <a:ext uri="{FF2B5EF4-FFF2-40B4-BE49-F238E27FC236}">
              <a16:creationId xmlns:a16="http://schemas.microsoft.com/office/drawing/2014/main" id="{00000000-0008-0000-0000-0000CB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51" name="TextBox 6150">
          <a:extLst>
            <a:ext uri="{FF2B5EF4-FFF2-40B4-BE49-F238E27FC236}">
              <a16:creationId xmlns:a16="http://schemas.microsoft.com/office/drawing/2014/main" id="{00000000-0008-0000-0000-0000CC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52" name="TextBox 6151">
          <a:extLst>
            <a:ext uri="{FF2B5EF4-FFF2-40B4-BE49-F238E27FC236}">
              <a16:creationId xmlns:a16="http://schemas.microsoft.com/office/drawing/2014/main" id="{00000000-0008-0000-0000-0000CD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53" name="TextBox 6152">
          <a:extLst>
            <a:ext uri="{FF2B5EF4-FFF2-40B4-BE49-F238E27FC236}">
              <a16:creationId xmlns:a16="http://schemas.microsoft.com/office/drawing/2014/main" id="{00000000-0008-0000-0000-0000CE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54" name="TextBox 6153">
          <a:extLst>
            <a:ext uri="{FF2B5EF4-FFF2-40B4-BE49-F238E27FC236}">
              <a16:creationId xmlns:a16="http://schemas.microsoft.com/office/drawing/2014/main" id="{00000000-0008-0000-0000-0000CF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55" name="TextBox 6154">
          <a:extLst>
            <a:ext uri="{FF2B5EF4-FFF2-40B4-BE49-F238E27FC236}">
              <a16:creationId xmlns:a16="http://schemas.microsoft.com/office/drawing/2014/main" id="{00000000-0008-0000-0000-0000D0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56" name="TextBox 6155">
          <a:extLst>
            <a:ext uri="{FF2B5EF4-FFF2-40B4-BE49-F238E27FC236}">
              <a16:creationId xmlns:a16="http://schemas.microsoft.com/office/drawing/2014/main" id="{00000000-0008-0000-0000-0000D1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57" name="TextBox 6156">
          <a:extLst>
            <a:ext uri="{FF2B5EF4-FFF2-40B4-BE49-F238E27FC236}">
              <a16:creationId xmlns:a16="http://schemas.microsoft.com/office/drawing/2014/main" id="{00000000-0008-0000-0000-0000D2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58" name="TextBox 6157">
          <a:extLst>
            <a:ext uri="{FF2B5EF4-FFF2-40B4-BE49-F238E27FC236}">
              <a16:creationId xmlns:a16="http://schemas.microsoft.com/office/drawing/2014/main" id="{00000000-0008-0000-0000-0000D3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59" name="TextBox 6158">
          <a:extLst>
            <a:ext uri="{FF2B5EF4-FFF2-40B4-BE49-F238E27FC236}">
              <a16:creationId xmlns:a16="http://schemas.microsoft.com/office/drawing/2014/main" id="{00000000-0008-0000-0000-0000D4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60" name="TextBox 6159">
          <a:extLst>
            <a:ext uri="{FF2B5EF4-FFF2-40B4-BE49-F238E27FC236}">
              <a16:creationId xmlns:a16="http://schemas.microsoft.com/office/drawing/2014/main" id="{00000000-0008-0000-0000-0000D5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61" name="TextBox 6160">
          <a:extLst>
            <a:ext uri="{FF2B5EF4-FFF2-40B4-BE49-F238E27FC236}">
              <a16:creationId xmlns:a16="http://schemas.microsoft.com/office/drawing/2014/main" id="{00000000-0008-0000-0000-0000D6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62" name="TextBox 6161">
          <a:extLst>
            <a:ext uri="{FF2B5EF4-FFF2-40B4-BE49-F238E27FC236}">
              <a16:creationId xmlns:a16="http://schemas.microsoft.com/office/drawing/2014/main" id="{00000000-0008-0000-0000-0000D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63" name="TextBox 6162">
          <a:extLst>
            <a:ext uri="{FF2B5EF4-FFF2-40B4-BE49-F238E27FC236}">
              <a16:creationId xmlns:a16="http://schemas.microsoft.com/office/drawing/2014/main" id="{00000000-0008-0000-0000-0000D8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64" name="TextBox 6163">
          <a:extLst>
            <a:ext uri="{FF2B5EF4-FFF2-40B4-BE49-F238E27FC236}">
              <a16:creationId xmlns:a16="http://schemas.microsoft.com/office/drawing/2014/main" id="{00000000-0008-0000-0000-0000D9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65" name="TextBox 6164">
          <a:extLst>
            <a:ext uri="{FF2B5EF4-FFF2-40B4-BE49-F238E27FC236}">
              <a16:creationId xmlns:a16="http://schemas.microsoft.com/office/drawing/2014/main" id="{00000000-0008-0000-0000-0000DA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66" name="TextBox 6165">
          <a:extLst>
            <a:ext uri="{FF2B5EF4-FFF2-40B4-BE49-F238E27FC236}">
              <a16:creationId xmlns:a16="http://schemas.microsoft.com/office/drawing/2014/main" id="{00000000-0008-0000-0000-0000DB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67" name="TextBox 6166">
          <a:extLst>
            <a:ext uri="{FF2B5EF4-FFF2-40B4-BE49-F238E27FC236}">
              <a16:creationId xmlns:a16="http://schemas.microsoft.com/office/drawing/2014/main" id="{00000000-0008-0000-0000-0000DC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68" name="TextBox 6167">
          <a:extLst>
            <a:ext uri="{FF2B5EF4-FFF2-40B4-BE49-F238E27FC236}">
              <a16:creationId xmlns:a16="http://schemas.microsoft.com/office/drawing/2014/main" id="{00000000-0008-0000-0000-0000DD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69" name="TextBox 6168">
          <a:extLst>
            <a:ext uri="{FF2B5EF4-FFF2-40B4-BE49-F238E27FC236}">
              <a16:creationId xmlns:a16="http://schemas.microsoft.com/office/drawing/2014/main" id="{00000000-0008-0000-0000-0000DE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70" name="TextBox 6169">
          <a:extLst>
            <a:ext uri="{FF2B5EF4-FFF2-40B4-BE49-F238E27FC236}">
              <a16:creationId xmlns:a16="http://schemas.microsoft.com/office/drawing/2014/main" id="{00000000-0008-0000-0000-0000DF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71" name="TextBox 6170">
          <a:extLst>
            <a:ext uri="{FF2B5EF4-FFF2-40B4-BE49-F238E27FC236}">
              <a16:creationId xmlns:a16="http://schemas.microsoft.com/office/drawing/2014/main" id="{00000000-0008-0000-0000-0000E0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72" name="TextBox 6171">
          <a:extLst>
            <a:ext uri="{FF2B5EF4-FFF2-40B4-BE49-F238E27FC236}">
              <a16:creationId xmlns:a16="http://schemas.microsoft.com/office/drawing/2014/main" id="{00000000-0008-0000-0000-0000E1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73" name="TextBox 6172">
          <a:extLst>
            <a:ext uri="{FF2B5EF4-FFF2-40B4-BE49-F238E27FC236}">
              <a16:creationId xmlns:a16="http://schemas.microsoft.com/office/drawing/2014/main" id="{00000000-0008-0000-0000-0000E2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74" name="TextBox 6173">
          <a:extLst>
            <a:ext uri="{FF2B5EF4-FFF2-40B4-BE49-F238E27FC236}">
              <a16:creationId xmlns:a16="http://schemas.microsoft.com/office/drawing/2014/main" id="{00000000-0008-0000-0000-0000E3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75" name="TextBox 6174">
          <a:extLst>
            <a:ext uri="{FF2B5EF4-FFF2-40B4-BE49-F238E27FC236}">
              <a16:creationId xmlns:a16="http://schemas.microsoft.com/office/drawing/2014/main" id="{00000000-0008-0000-0000-0000E4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76" name="TextBox 6175">
          <a:extLst>
            <a:ext uri="{FF2B5EF4-FFF2-40B4-BE49-F238E27FC236}">
              <a16:creationId xmlns:a16="http://schemas.microsoft.com/office/drawing/2014/main" id="{00000000-0008-0000-0000-0000E5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77" name="TextBox 6176">
          <a:extLst>
            <a:ext uri="{FF2B5EF4-FFF2-40B4-BE49-F238E27FC236}">
              <a16:creationId xmlns:a16="http://schemas.microsoft.com/office/drawing/2014/main" id="{00000000-0008-0000-0000-0000E6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78" name="TextBox 6177">
          <a:extLst>
            <a:ext uri="{FF2B5EF4-FFF2-40B4-BE49-F238E27FC236}">
              <a16:creationId xmlns:a16="http://schemas.microsoft.com/office/drawing/2014/main" id="{00000000-0008-0000-0000-0000E7000000}"/>
            </a:ext>
          </a:extLst>
        </xdr:cNvPr>
        <xdr:cNvSpPr txBox="1"/>
      </xdr:nvSpPr>
      <xdr:spPr>
        <a:xfrm>
          <a:off x="826770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79" name="TextBox 6178">
          <a:extLst>
            <a:ext uri="{FF2B5EF4-FFF2-40B4-BE49-F238E27FC236}">
              <a16:creationId xmlns:a16="http://schemas.microsoft.com/office/drawing/2014/main" id="{00000000-0008-0000-0000-0000E8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80" name="TextBox 6179">
          <a:extLst>
            <a:ext uri="{FF2B5EF4-FFF2-40B4-BE49-F238E27FC236}">
              <a16:creationId xmlns:a16="http://schemas.microsoft.com/office/drawing/2014/main" id="{00000000-0008-0000-0000-0000E9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81" name="TextBox 6180">
          <a:extLst>
            <a:ext uri="{FF2B5EF4-FFF2-40B4-BE49-F238E27FC236}">
              <a16:creationId xmlns:a16="http://schemas.microsoft.com/office/drawing/2014/main" id="{00000000-0008-0000-0000-0000EA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82" name="TextBox 6181">
          <a:extLst>
            <a:ext uri="{FF2B5EF4-FFF2-40B4-BE49-F238E27FC236}">
              <a16:creationId xmlns:a16="http://schemas.microsoft.com/office/drawing/2014/main" id="{00000000-0008-0000-0000-0000EB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83" name="TextBox 6182">
          <a:extLst>
            <a:ext uri="{FF2B5EF4-FFF2-40B4-BE49-F238E27FC236}">
              <a16:creationId xmlns:a16="http://schemas.microsoft.com/office/drawing/2014/main" id="{00000000-0008-0000-0000-0000EC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84" name="TextBox 6183">
          <a:extLst>
            <a:ext uri="{FF2B5EF4-FFF2-40B4-BE49-F238E27FC236}">
              <a16:creationId xmlns:a16="http://schemas.microsoft.com/office/drawing/2014/main" id="{00000000-0008-0000-0000-0000ED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85" name="TextBox 6184">
          <a:extLst>
            <a:ext uri="{FF2B5EF4-FFF2-40B4-BE49-F238E27FC236}">
              <a16:creationId xmlns:a16="http://schemas.microsoft.com/office/drawing/2014/main" id="{00000000-0008-0000-0000-0000EE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6186" name="TextBox 6185">
          <a:extLst>
            <a:ext uri="{FF2B5EF4-FFF2-40B4-BE49-F238E27FC236}">
              <a16:creationId xmlns:a16="http://schemas.microsoft.com/office/drawing/2014/main" id="{00000000-0008-0000-0000-0000EF000000}"/>
            </a:ext>
          </a:extLst>
        </xdr:cNvPr>
        <xdr:cNvSpPr txBox="1"/>
      </xdr:nvSpPr>
      <xdr:spPr>
        <a:xfrm>
          <a:off x="12580620" y="34465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87" name="TextBox 6186">
          <a:extLst>
            <a:ext uri="{FF2B5EF4-FFF2-40B4-BE49-F238E27FC236}">
              <a16:creationId xmlns:a16="http://schemas.microsoft.com/office/drawing/2014/main" id="{00000000-0008-0000-0000-0000F0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88" name="TextBox 6187">
          <a:extLst>
            <a:ext uri="{FF2B5EF4-FFF2-40B4-BE49-F238E27FC236}">
              <a16:creationId xmlns:a16="http://schemas.microsoft.com/office/drawing/2014/main" id="{00000000-0008-0000-0000-0000F1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89" name="TextBox 6188">
          <a:extLst>
            <a:ext uri="{FF2B5EF4-FFF2-40B4-BE49-F238E27FC236}">
              <a16:creationId xmlns:a16="http://schemas.microsoft.com/office/drawing/2014/main" id="{00000000-0008-0000-0000-0000F2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90" name="TextBox 6189">
          <a:extLst>
            <a:ext uri="{FF2B5EF4-FFF2-40B4-BE49-F238E27FC236}">
              <a16:creationId xmlns:a16="http://schemas.microsoft.com/office/drawing/2014/main" id="{00000000-0008-0000-0000-0000F3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91" name="TextBox 6190">
          <a:extLst>
            <a:ext uri="{FF2B5EF4-FFF2-40B4-BE49-F238E27FC236}">
              <a16:creationId xmlns:a16="http://schemas.microsoft.com/office/drawing/2014/main" id="{00000000-0008-0000-0000-0000F4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92" name="TextBox 6191">
          <a:extLst>
            <a:ext uri="{FF2B5EF4-FFF2-40B4-BE49-F238E27FC236}">
              <a16:creationId xmlns:a16="http://schemas.microsoft.com/office/drawing/2014/main" id="{00000000-0008-0000-0000-0000F5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93" name="TextBox 6192">
          <a:extLst>
            <a:ext uri="{FF2B5EF4-FFF2-40B4-BE49-F238E27FC236}">
              <a16:creationId xmlns:a16="http://schemas.microsoft.com/office/drawing/2014/main" id="{00000000-0008-0000-0000-0000F6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94" name="TextBox 6193">
          <a:extLst>
            <a:ext uri="{FF2B5EF4-FFF2-40B4-BE49-F238E27FC236}">
              <a16:creationId xmlns:a16="http://schemas.microsoft.com/office/drawing/2014/main" id="{00000000-0008-0000-0000-0000F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95" name="TextBox 6194">
          <a:extLst>
            <a:ext uri="{FF2B5EF4-FFF2-40B4-BE49-F238E27FC236}">
              <a16:creationId xmlns:a16="http://schemas.microsoft.com/office/drawing/2014/main" id="{00000000-0008-0000-0000-0000F8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96" name="TextBox 6195">
          <a:extLst>
            <a:ext uri="{FF2B5EF4-FFF2-40B4-BE49-F238E27FC236}">
              <a16:creationId xmlns:a16="http://schemas.microsoft.com/office/drawing/2014/main" id="{00000000-0008-0000-0000-0000F9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97" name="TextBox 6196">
          <a:extLst>
            <a:ext uri="{FF2B5EF4-FFF2-40B4-BE49-F238E27FC236}">
              <a16:creationId xmlns:a16="http://schemas.microsoft.com/office/drawing/2014/main" id="{00000000-0008-0000-0000-0000FA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98" name="TextBox 6197">
          <a:extLst>
            <a:ext uri="{FF2B5EF4-FFF2-40B4-BE49-F238E27FC236}">
              <a16:creationId xmlns:a16="http://schemas.microsoft.com/office/drawing/2014/main" id="{00000000-0008-0000-0000-0000FB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199" name="TextBox 6198">
          <a:extLst>
            <a:ext uri="{FF2B5EF4-FFF2-40B4-BE49-F238E27FC236}">
              <a16:creationId xmlns:a16="http://schemas.microsoft.com/office/drawing/2014/main" id="{00000000-0008-0000-0000-0000FC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00" name="TextBox 6199">
          <a:extLst>
            <a:ext uri="{FF2B5EF4-FFF2-40B4-BE49-F238E27FC236}">
              <a16:creationId xmlns:a16="http://schemas.microsoft.com/office/drawing/2014/main" id="{00000000-0008-0000-0000-0000FD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01" name="TextBox 6200">
          <a:extLst>
            <a:ext uri="{FF2B5EF4-FFF2-40B4-BE49-F238E27FC236}">
              <a16:creationId xmlns:a16="http://schemas.microsoft.com/office/drawing/2014/main" id="{00000000-0008-0000-0000-0000FE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02" name="TextBox 6201">
          <a:extLst>
            <a:ext uri="{FF2B5EF4-FFF2-40B4-BE49-F238E27FC236}">
              <a16:creationId xmlns:a16="http://schemas.microsoft.com/office/drawing/2014/main" id="{00000000-0008-0000-0000-0000FF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03" name="TextBox 6202">
          <a:extLst>
            <a:ext uri="{FF2B5EF4-FFF2-40B4-BE49-F238E27FC236}">
              <a16:creationId xmlns:a16="http://schemas.microsoft.com/office/drawing/2014/main" id="{00000000-0008-0000-0000-000000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04" name="TextBox 6203">
          <a:extLst>
            <a:ext uri="{FF2B5EF4-FFF2-40B4-BE49-F238E27FC236}">
              <a16:creationId xmlns:a16="http://schemas.microsoft.com/office/drawing/2014/main" id="{00000000-0008-0000-0000-000001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05" name="TextBox 6204">
          <a:extLst>
            <a:ext uri="{FF2B5EF4-FFF2-40B4-BE49-F238E27FC236}">
              <a16:creationId xmlns:a16="http://schemas.microsoft.com/office/drawing/2014/main" id="{00000000-0008-0000-0000-000002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06" name="TextBox 6205">
          <a:extLst>
            <a:ext uri="{FF2B5EF4-FFF2-40B4-BE49-F238E27FC236}">
              <a16:creationId xmlns:a16="http://schemas.microsoft.com/office/drawing/2014/main" id="{00000000-0008-0000-0000-000003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07" name="TextBox 6206">
          <a:extLst>
            <a:ext uri="{FF2B5EF4-FFF2-40B4-BE49-F238E27FC236}">
              <a16:creationId xmlns:a16="http://schemas.microsoft.com/office/drawing/2014/main" id="{00000000-0008-0000-0000-000004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08" name="TextBox 6207">
          <a:extLst>
            <a:ext uri="{FF2B5EF4-FFF2-40B4-BE49-F238E27FC236}">
              <a16:creationId xmlns:a16="http://schemas.microsoft.com/office/drawing/2014/main" id="{00000000-0008-0000-0000-000005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09" name="TextBox 6208">
          <a:extLst>
            <a:ext uri="{FF2B5EF4-FFF2-40B4-BE49-F238E27FC236}">
              <a16:creationId xmlns:a16="http://schemas.microsoft.com/office/drawing/2014/main" id="{00000000-0008-0000-0000-000006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10" name="TextBox 6209">
          <a:extLst>
            <a:ext uri="{FF2B5EF4-FFF2-40B4-BE49-F238E27FC236}">
              <a16:creationId xmlns:a16="http://schemas.microsoft.com/office/drawing/2014/main" id="{00000000-0008-0000-0000-000007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11" name="TextBox 6210">
          <a:extLst>
            <a:ext uri="{FF2B5EF4-FFF2-40B4-BE49-F238E27FC236}">
              <a16:creationId xmlns:a16="http://schemas.microsoft.com/office/drawing/2014/main" id="{00000000-0008-0000-0000-000008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12" name="TextBox 6211">
          <a:extLst>
            <a:ext uri="{FF2B5EF4-FFF2-40B4-BE49-F238E27FC236}">
              <a16:creationId xmlns:a16="http://schemas.microsoft.com/office/drawing/2014/main" id="{00000000-0008-0000-0000-000009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13" name="TextBox 6212">
          <a:extLst>
            <a:ext uri="{FF2B5EF4-FFF2-40B4-BE49-F238E27FC236}">
              <a16:creationId xmlns:a16="http://schemas.microsoft.com/office/drawing/2014/main" id="{00000000-0008-0000-0000-00000A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14" name="TextBox 6213">
          <a:extLst>
            <a:ext uri="{FF2B5EF4-FFF2-40B4-BE49-F238E27FC236}">
              <a16:creationId xmlns:a16="http://schemas.microsoft.com/office/drawing/2014/main" id="{00000000-0008-0000-0000-00000B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15" name="TextBox 6214">
          <a:extLst>
            <a:ext uri="{FF2B5EF4-FFF2-40B4-BE49-F238E27FC236}">
              <a16:creationId xmlns:a16="http://schemas.microsoft.com/office/drawing/2014/main" id="{00000000-0008-0000-0000-00000C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16" name="TextBox 6215">
          <a:extLst>
            <a:ext uri="{FF2B5EF4-FFF2-40B4-BE49-F238E27FC236}">
              <a16:creationId xmlns:a16="http://schemas.microsoft.com/office/drawing/2014/main" id="{00000000-0008-0000-0000-00000D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17" name="TextBox 6216">
          <a:extLst>
            <a:ext uri="{FF2B5EF4-FFF2-40B4-BE49-F238E27FC236}">
              <a16:creationId xmlns:a16="http://schemas.microsoft.com/office/drawing/2014/main" id="{00000000-0008-0000-0000-00000E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18" name="TextBox 6217">
          <a:extLst>
            <a:ext uri="{FF2B5EF4-FFF2-40B4-BE49-F238E27FC236}">
              <a16:creationId xmlns:a16="http://schemas.microsoft.com/office/drawing/2014/main" id="{00000000-0008-0000-0000-00000F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19" name="TextBox 6218">
          <a:extLst>
            <a:ext uri="{FF2B5EF4-FFF2-40B4-BE49-F238E27FC236}">
              <a16:creationId xmlns:a16="http://schemas.microsoft.com/office/drawing/2014/main" id="{00000000-0008-0000-0000-000010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20" name="TextBox 6219">
          <a:extLst>
            <a:ext uri="{FF2B5EF4-FFF2-40B4-BE49-F238E27FC236}">
              <a16:creationId xmlns:a16="http://schemas.microsoft.com/office/drawing/2014/main" id="{00000000-0008-0000-0000-000011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21" name="TextBox 6220">
          <a:extLst>
            <a:ext uri="{FF2B5EF4-FFF2-40B4-BE49-F238E27FC236}">
              <a16:creationId xmlns:a16="http://schemas.microsoft.com/office/drawing/2014/main" id="{00000000-0008-0000-0000-000012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22" name="TextBox 6221">
          <a:extLst>
            <a:ext uri="{FF2B5EF4-FFF2-40B4-BE49-F238E27FC236}">
              <a16:creationId xmlns:a16="http://schemas.microsoft.com/office/drawing/2014/main" id="{00000000-0008-0000-0000-000013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23" name="TextBox 6222">
          <a:extLst>
            <a:ext uri="{FF2B5EF4-FFF2-40B4-BE49-F238E27FC236}">
              <a16:creationId xmlns:a16="http://schemas.microsoft.com/office/drawing/2014/main" id="{00000000-0008-0000-0000-000014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24" name="TextBox 6223">
          <a:extLst>
            <a:ext uri="{FF2B5EF4-FFF2-40B4-BE49-F238E27FC236}">
              <a16:creationId xmlns:a16="http://schemas.microsoft.com/office/drawing/2014/main" id="{00000000-0008-0000-0000-000015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25" name="TextBox 6224">
          <a:extLst>
            <a:ext uri="{FF2B5EF4-FFF2-40B4-BE49-F238E27FC236}">
              <a16:creationId xmlns:a16="http://schemas.microsoft.com/office/drawing/2014/main" id="{00000000-0008-0000-0000-000016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26" name="TextBox 6225">
          <a:extLst>
            <a:ext uri="{FF2B5EF4-FFF2-40B4-BE49-F238E27FC236}">
              <a16:creationId xmlns:a16="http://schemas.microsoft.com/office/drawing/2014/main" id="{00000000-0008-0000-0000-000017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27" name="TextBox 6226">
          <a:extLst>
            <a:ext uri="{FF2B5EF4-FFF2-40B4-BE49-F238E27FC236}">
              <a16:creationId xmlns:a16="http://schemas.microsoft.com/office/drawing/2014/main" id="{00000000-0008-0000-0000-000018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28" name="TextBox 6227">
          <a:extLst>
            <a:ext uri="{FF2B5EF4-FFF2-40B4-BE49-F238E27FC236}">
              <a16:creationId xmlns:a16="http://schemas.microsoft.com/office/drawing/2014/main" id="{00000000-0008-0000-0000-000019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29" name="TextBox 6228">
          <a:extLst>
            <a:ext uri="{FF2B5EF4-FFF2-40B4-BE49-F238E27FC236}">
              <a16:creationId xmlns:a16="http://schemas.microsoft.com/office/drawing/2014/main" id="{00000000-0008-0000-0000-00001A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30" name="TextBox 6229">
          <a:extLst>
            <a:ext uri="{FF2B5EF4-FFF2-40B4-BE49-F238E27FC236}">
              <a16:creationId xmlns:a16="http://schemas.microsoft.com/office/drawing/2014/main" id="{00000000-0008-0000-0000-00001B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31" name="TextBox 6230">
          <a:extLst>
            <a:ext uri="{FF2B5EF4-FFF2-40B4-BE49-F238E27FC236}">
              <a16:creationId xmlns:a16="http://schemas.microsoft.com/office/drawing/2014/main" id="{00000000-0008-0000-0000-00001C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32" name="TextBox 6231">
          <a:extLst>
            <a:ext uri="{FF2B5EF4-FFF2-40B4-BE49-F238E27FC236}">
              <a16:creationId xmlns:a16="http://schemas.microsoft.com/office/drawing/2014/main" id="{00000000-0008-0000-0000-00001D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33" name="TextBox 6232">
          <a:extLst>
            <a:ext uri="{FF2B5EF4-FFF2-40B4-BE49-F238E27FC236}">
              <a16:creationId xmlns:a16="http://schemas.microsoft.com/office/drawing/2014/main" id="{00000000-0008-0000-0000-00001E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34" name="TextBox 6233">
          <a:extLst>
            <a:ext uri="{FF2B5EF4-FFF2-40B4-BE49-F238E27FC236}">
              <a16:creationId xmlns:a16="http://schemas.microsoft.com/office/drawing/2014/main" id="{00000000-0008-0000-0000-00001F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35" name="TextBox 6234">
          <a:extLst>
            <a:ext uri="{FF2B5EF4-FFF2-40B4-BE49-F238E27FC236}">
              <a16:creationId xmlns:a16="http://schemas.microsoft.com/office/drawing/2014/main" id="{00000000-0008-0000-0000-000020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36" name="TextBox 6235">
          <a:extLst>
            <a:ext uri="{FF2B5EF4-FFF2-40B4-BE49-F238E27FC236}">
              <a16:creationId xmlns:a16="http://schemas.microsoft.com/office/drawing/2014/main" id="{00000000-0008-0000-0000-000021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37" name="TextBox 6236">
          <a:extLst>
            <a:ext uri="{FF2B5EF4-FFF2-40B4-BE49-F238E27FC236}">
              <a16:creationId xmlns:a16="http://schemas.microsoft.com/office/drawing/2014/main" id="{00000000-0008-0000-0000-000022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38" name="TextBox 6237">
          <a:extLst>
            <a:ext uri="{FF2B5EF4-FFF2-40B4-BE49-F238E27FC236}">
              <a16:creationId xmlns:a16="http://schemas.microsoft.com/office/drawing/2014/main" id="{00000000-0008-0000-0000-000023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39" name="TextBox 6238">
          <a:extLst>
            <a:ext uri="{FF2B5EF4-FFF2-40B4-BE49-F238E27FC236}">
              <a16:creationId xmlns:a16="http://schemas.microsoft.com/office/drawing/2014/main" id="{00000000-0008-0000-0000-000024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40" name="TextBox 6239">
          <a:extLst>
            <a:ext uri="{FF2B5EF4-FFF2-40B4-BE49-F238E27FC236}">
              <a16:creationId xmlns:a16="http://schemas.microsoft.com/office/drawing/2014/main" id="{00000000-0008-0000-0000-00002501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41" name="TextBox 6240">
          <a:extLst>
            <a:ext uri="{FF2B5EF4-FFF2-40B4-BE49-F238E27FC236}">
              <a16:creationId xmlns:a16="http://schemas.microsoft.com/office/drawing/2014/main" id="{00000000-0008-0000-0000-000026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42" name="TextBox 6241">
          <a:extLst>
            <a:ext uri="{FF2B5EF4-FFF2-40B4-BE49-F238E27FC236}">
              <a16:creationId xmlns:a16="http://schemas.microsoft.com/office/drawing/2014/main" id="{00000000-0008-0000-0000-000027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43" name="TextBox 6242">
          <a:extLst>
            <a:ext uri="{FF2B5EF4-FFF2-40B4-BE49-F238E27FC236}">
              <a16:creationId xmlns:a16="http://schemas.microsoft.com/office/drawing/2014/main" id="{00000000-0008-0000-0000-000028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44" name="TextBox 6243">
          <a:extLst>
            <a:ext uri="{FF2B5EF4-FFF2-40B4-BE49-F238E27FC236}">
              <a16:creationId xmlns:a16="http://schemas.microsoft.com/office/drawing/2014/main" id="{00000000-0008-0000-0000-000029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45" name="TextBox 6244">
          <a:extLst>
            <a:ext uri="{FF2B5EF4-FFF2-40B4-BE49-F238E27FC236}">
              <a16:creationId xmlns:a16="http://schemas.microsoft.com/office/drawing/2014/main" id="{00000000-0008-0000-0000-00002A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46" name="TextBox 6245">
          <a:extLst>
            <a:ext uri="{FF2B5EF4-FFF2-40B4-BE49-F238E27FC236}">
              <a16:creationId xmlns:a16="http://schemas.microsoft.com/office/drawing/2014/main" id="{00000000-0008-0000-0000-00002B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47" name="TextBox 6246">
          <a:extLst>
            <a:ext uri="{FF2B5EF4-FFF2-40B4-BE49-F238E27FC236}">
              <a16:creationId xmlns:a16="http://schemas.microsoft.com/office/drawing/2014/main" id="{00000000-0008-0000-0000-00002C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6248" name="TextBox 6247">
          <a:extLst>
            <a:ext uri="{FF2B5EF4-FFF2-40B4-BE49-F238E27FC236}">
              <a16:creationId xmlns:a16="http://schemas.microsoft.com/office/drawing/2014/main" id="{00000000-0008-0000-0000-00002D010000}"/>
            </a:ext>
          </a:extLst>
        </xdr:cNvPr>
        <xdr:cNvSpPr txBox="1"/>
      </xdr:nvSpPr>
      <xdr:spPr>
        <a:xfrm>
          <a:off x="1258062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49" name="TextBox 6248">
          <a:extLst>
            <a:ext uri="{FF2B5EF4-FFF2-40B4-BE49-F238E27FC236}">
              <a16:creationId xmlns:a16="http://schemas.microsoft.com/office/drawing/2014/main" id="{00000000-0008-0000-0000-00002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50" name="TextBox 6249">
          <a:extLst>
            <a:ext uri="{FF2B5EF4-FFF2-40B4-BE49-F238E27FC236}">
              <a16:creationId xmlns:a16="http://schemas.microsoft.com/office/drawing/2014/main" id="{00000000-0008-0000-0000-00002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51" name="TextBox 6250">
          <a:extLst>
            <a:ext uri="{FF2B5EF4-FFF2-40B4-BE49-F238E27FC236}">
              <a16:creationId xmlns:a16="http://schemas.microsoft.com/office/drawing/2014/main" id="{00000000-0008-0000-0000-00003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52" name="TextBox 6251">
          <a:extLst>
            <a:ext uri="{FF2B5EF4-FFF2-40B4-BE49-F238E27FC236}">
              <a16:creationId xmlns:a16="http://schemas.microsoft.com/office/drawing/2014/main" id="{00000000-0008-0000-0000-00003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53" name="TextBox 6252">
          <a:extLst>
            <a:ext uri="{FF2B5EF4-FFF2-40B4-BE49-F238E27FC236}">
              <a16:creationId xmlns:a16="http://schemas.microsoft.com/office/drawing/2014/main" id="{00000000-0008-0000-0000-00003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54" name="TextBox 6253">
          <a:extLst>
            <a:ext uri="{FF2B5EF4-FFF2-40B4-BE49-F238E27FC236}">
              <a16:creationId xmlns:a16="http://schemas.microsoft.com/office/drawing/2014/main" id="{00000000-0008-0000-0000-00003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55" name="TextBox 6254">
          <a:extLst>
            <a:ext uri="{FF2B5EF4-FFF2-40B4-BE49-F238E27FC236}">
              <a16:creationId xmlns:a16="http://schemas.microsoft.com/office/drawing/2014/main" id="{00000000-0008-0000-0000-00003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56" name="TextBox 6255">
          <a:extLst>
            <a:ext uri="{FF2B5EF4-FFF2-40B4-BE49-F238E27FC236}">
              <a16:creationId xmlns:a16="http://schemas.microsoft.com/office/drawing/2014/main" id="{00000000-0008-0000-0000-00003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57" name="TextBox 6256">
          <a:extLst>
            <a:ext uri="{FF2B5EF4-FFF2-40B4-BE49-F238E27FC236}">
              <a16:creationId xmlns:a16="http://schemas.microsoft.com/office/drawing/2014/main" id="{00000000-0008-0000-0000-00003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58" name="TextBox 6257">
          <a:extLst>
            <a:ext uri="{FF2B5EF4-FFF2-40B4-BE49-F238E27FC236}">
              <a16:creationId xmlns:a16="http://schemas.microsoft.com/office/drawing/2014/main" id="{00000000-0008-0000-0000-00003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59" name="TextBox 6258">
          <a:extLst>
            <a:ext uri="{FF2B5EF4-FFF2-40B4-BE49-F238E27FC236}">
              <a16:creationId xmlns:a16="http://schemas.microsoft.com/office/drawing/2014/main" id="{00000000-0008-0000-0000-00003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60" name="TextBox 6259">
          <a:extLst>
            <a:ext uri="{FF2B5EF4-FFF2-40B4-BE49-F238E27FC236}">
              <a16:creationId xmlns:a16="http://schemas.microsoft.com/office/drawing/2014/main" id="{00000000-0008-0000-0000-00003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61" name="TextBox 6260">
          <a:extLst>
            <a:ext uri="{FF2B5EF4-FFF2-40B4-BE49-F238E27FC236}">
              <a16:creationId xmlns:a16="http://schemas.microsoft.com/office/drawing/2014/main" id="{00000000-0008-0000-0000-00003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62" name="TextBox 6261">
          <a:extLst>
            <a:ext uri="{FF2B5EF4-FFF2-40B4-BE49-F238E27FC236}">
              <a16:creationId xmlns:a16="http://schemas.microsoft.com/office/drawing/2014/main" id="{00000000-0008-0000-0000-00003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63" name="TextBox 6262">
          <a:extLst>
            <a:ext uri="{FF2B5EF4-FFF2-40B4-BE49-F238E27FC236}">
              <a16:creationId xmlns:a16="http://schemas.microsoft.com/office/drawing/2014/main" id="{00000000-0008-0000-0000-00003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64" name="TextBox 6263">
          <a:extLst>
            <a:ext uri="{FF2B5EF4-FFF2-40B4-BE49-F238E27FC236}">
              <a16:creationId xmlns:a16="http://schemas.microsoft.com/office/drawing/2014/main" id="{00000000-0008-0000-0000-00003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65" name="TextBox 6264">
          <a:extLst>
            <a:ext uri="{FF2B5EF4-FFF2-40B4-BE49-F238E27FC236}">
              <a16:creationId xmlns:a16="http://schemas.microsoft.com/office/drawing/2014/main" id="{00000000-0008-0000-0000-00003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66" name="TextBox 6265">
          <a:extLst>
            <a:ext uri="{FF2B5EF4-FFF2-40B4-BE49-F238E27FC236}">
              <a16:creationId xmlns:a16="http://schemas.microsoft.com/office/drawing/2014/main" id="{00000000-0008-0000-0000-00003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67" name="TextBox 6266">
          <a:extLst>
            <a:ext uri="{FF2B5EF4-FFF2-40B4-BE49-F238E27FC236}">
              <a16:creationId xmlns:a16="http://schemas.microsoft.com/office/drawing/2014/main" id="{00000000-0008-0000-0000-00004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68" name="TextBox 6267">
          <a:extLst>
            <a:ext uri="{FF2B5EF4-FFF2-40B4-BE49-F238E27FC236}">
              <a16:creationId xmlns:a16="http://schemas.microsoft.com/office/drawing/2014/main" id="{00000000-0008-0000-0000-00004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69" name="TextBox 6268">
          <a:extLst>
            <a:ext uri="{FF2B5EF4-FFF2-40B4-BE49-F238E27FC236}">
              <a16:creationId xmlns:a16="http://schemas.microsoft.com/office/drawing/2014/main" id="{00000000-0008-0000-0000-00004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70" name="TextBox 6269">
          <a:extLst>
            <a:ext uri="{FF2B5EF4-FFF2-40B4-BE49-F238E27FC236}">
              <a16:creationId xmlns:a16="http://schemas.microsoft.com/office/drawing/2014/main" id="{00000000-0008-0000-0000-00004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71" name="TextBox 6270">
          <a:extLst>
            <a:ext uri="{FF2B5EF4-FFF2-40B4-BE49-F238E27FC236}">
              <a16:creationId xmlns:a16="http://schemas.microsoft.com/office/drawing/2014/main" id="{00000000-0008-0000-0000-00004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72" name="TextBox 6271">
          <a:extLst>
            <a:ext uri="{FF2B5EF4-FFF2-40B4-BE49-F238E27FC236}">
              <a16:creationId xmlns:a16="http://schemas.microsoft.com/office/drawing/2014/main" id="{00000000-0008-0000-0000-00004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73" name="TextBox 6272">
          <a:extLst>
            <a:ext uri="{FF2B5EF4-FFF2-40B4-BE49-F238E27FC236}">
              <a16:creationId xmlns:a16="http://schemas.microsoft.com/office/drawing/2014/main" id="{00000000-0008-0000-0000-00004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74" name="TextBox 6273">
          <a:extLst>
            <a:ext uri="{FF2B5EF4-FFF2-40B4-BE49-F238E27FC236}">
              <a16:creationId xmlns:a16="http://schemas.microsoft.com/office/drawing/2014/main" id="{00000000-0008-0000-0000-00004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75" name="TextBox 6274">
          <a:extLst>
            <a:ext uri="{FF2B5EF4-FFF2-40B4-BE49-F238E27FC236}">
              <a16:creationId xmlns:a16="http://schemas.microsoft.com/office/drawing/2014/main" id="{00000000-0008-0000-0000-00004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76" name="TextBox 6275">
          <a:extLst>
            <a:ext uri="{FF2B5EF4-FFF2-40B4-BE49-F238E27FC236}">
              <a16:creationId xmlns:a16="http://schemas.microsoft.com/office/drawing/2014/main" id="{00000000-0008-0000-0000-00004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77" name="TextBox 6276">
          <a:extLst>
            <a:ext uri="{FF2B5EF4-FFF2-40B4-BE49-F238E27FC236}">
              <a16:creationId xmlns:a16="http://schemas.microsoft.com/office/drawing/2014/main" id="{00000000-0008-0000-0000-00004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78" name="TextBox 6277">
          <a:extLst>
            <a:ext uri="{FF2B5EF4-FFF2-40B4-BE49-F238E27FC236}">
              <a16:creationId xmlns:a16="http://schemas.microsoft.com/office/drawing/2014/main" id="{00000000-0008-0000-0000-00004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79" name="TextBox 6278">
          <a:extLst>
            <a:ext uri="{FF2B5EF4-FFF2-40B4-BE49-F238E27FC236}">
              <a16:creationId xmlns:a16="http://schemas.microsoft.com/office/drawing/2014/main" id="{00000000-0008-0000-0000-00004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80" name="TextBox 6279">
          <a:extLst>
            <a:ext uri="{FF2B5EF4-FFF2-40B4-BE49-F238E27FC236}">
              <a16:creationId xmlns:a16="http://schemas.microsoft.com/office/drawing/2014/main" id="{00000000-0008-0000-0000-00004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81" name="TextBox 6280">
          <a:extLst>
            <a:ext uri="{FF2B5EF4-FFF2-40B4-BE49-F238E27FC236}">
              <a16:creationId xmlns:a16="http://schemas.microsoft.com/office/drawing/2014/main" id="{00000000-0008-0000-0000-00004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82" name="TextBox 6281">
          <a:extLst>
            <a:ext uri="{FF2B5EF4-FFF2-40B4-BE49-F238E27FC236}">
              <a16:creationId xmlns:a16="http://schemas.microsoft.com/office/drawing/2014/main" id="{00000000-0008-0000-0000-00004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83" name="TextBox 6282">
          <a:extLst>
            <a:ext uri="{FF2B5EF4-FFF2-40B4-BE49-F238E27FC236}">
              <a16:creationId xmlns:a16="http://schemas.microsoft.com/office/drawing/2014/main" id="{00000000-0008-0000-0000-00005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84" name="TextBox 6283">
          <a:extLst>
            <a:ext uri="{FF2B5EF4-FFF2-40B4-BE49-F238E27FC236}">
              <a16:creationId xmlns:a16="http://schemas.microsoft.com/office/drawing/2014/main" id="{00000000-0008-0000-0000-00005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85" name="TextBox 6284">
          <a:extLst>
            <a:ext uri="{FF2B5EF4-FFF2-40B4-BE49-F238E27FC236}">
              <a16:creationId xmlns:a16="http://schemas.microsoft.com/office/drawing/2014/main" id="{00000000-0008-0000-0000-00005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86" name="TextBox 6285">
          <a:extLst>
            <a:ext uri="{FF2B5EF4-FFF2-40B4-BE49-F238E27FC236}">
              <a16:creationId xmlns:a16="http://schemas.microsoft.com/office/drawing/2014/main" id="{00000000-0008-0000-0000-00005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87" name="TextBox 6286">
          <a:extLst>
            <a:ext uri="{FF2B5EF4-FFF2-40B4-BE49-F238E27FC236}">
              <a16:creationId xmlns:a16="http://schemas.microsoft.com/office/drawing/2014/main" id="{00000000-0008-0000-0000-00005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88" name="TextBox 6287">
          <a:extLst>
            <a:ext uri="{FF2B5EF4-FFF2-40B4-BE49-F238E27FC236}">
              <a16:creationId xmlns:a16="http://schemas.microsoft.com/office/drawing/2014/main" id="{00000000-0008-0000-0000-00005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89" name="TextBox 6288">
          <a:extLst>
            <a:ext uri="{FF2B5EF4-FFF2-40B4-BE49-F238E27FC236}">
              <a16:creationId xmlns:a16="http://schemas.microsoft.com/office/drawing/2014/main" id="{00000000-0008-0000-0000-00005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90" name="TextBox 6289">
          <a:extLst>
            <a:ext uri="{FF2B5EF4-FFF2-40B4-BE49-F238E27FC236}">
              <a16:creationId xmlns:a16="http://schemas.microsoft.com/office/drawing/2014/main" id="{00000000-0008-0000-0000-00005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91" name="TextBox 6290">
          <a:extLst>
            <a:ext uri="{FF2B5EF4-FFF2-40B4-BE49-F238E27FC236}">
              <a16:creationId xmlns:a16="http://schemas.microsoft.com/office/drawing/2014/main" id="{00000000-0008-0000-0000-00005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92" name="TextBox 6291">
          <a:extLst>
            <a:ext uri="{FF2B5EF4-FFF2-40B4-BE49-F238E27FC236}">
              <a16:creationId xmlns:a16="http://schemas.microsoft.com/office/drawing/2014/main" id="{00000000-0008-0000-0000-00005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93" name="TextBox 6292">
          <a:extLst>
            <a:ext uri="{FF2B5EF4-FFF2-40B4-BE49-F238E27FC236}">
              <a16:creationId xmlns:a16="http://schemas.microsoft.com/office/drawing/2014/main" id="{00000000-0008-0000-0000-00005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94" name="TextBox 6293">
          <a:extLst>
            <a:ext uri="{FF2B5EF4-FFF2-40B4-BE49-F238E27FC236}">
              <a16:creationId xmlns:a16="http://schemas.microsoft.com/office/drawing/2014/main" id="{00000000-0008-0000-0000-00005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95" name="TextBox 6294">
          <a:extLst>
            <a:ext uri="{FF2B5EF4-FFF2-40B4-BE49-F238E27FC236}">
              <a16:creationId xmlns:a16="http://schemas.microsoft.com/office/drawing/2014/main" id="{00000000-0008-0000-0000-00005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96" name="TextBox 6295">
          <a:extLst>
            <a:ext uri="{FF2B5EF4-FFF2-40B4-BE49-F238E27FC236}">
              <a16:creationId xmlns:a16="http://schemas.microsoft.com/office/drawing/2014/main" id="{00000000-0008-0000-0000-00005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97" name="TextBox 6296">
          <a:extLst>
            <a:ext uri="{FF2B5EF4-FFF2-40B4-BE49-F238E27FC236}">
              <a16:creationId xmlns:a16="http://schemas.microsoft.com/office/drawing/2014/main" id="{00000000-0008-0000-0000-00005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98" name="TextBox 6297">
          <a:extLst>
            <a:ext uri="{FF2B5EF4-FFF2-40B4-BE49-F238E27FC236}">
              <a16:creationId xmlns:a16="http://schemas.microsoft.com/office/drawing/2014/main" id="{00000000-0008-0000-0000-00005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299" name="TextBox 6298">
          <a:extLst>
            <a:ext uri="{FF2B5EF4-FFF2-40B4-BE49-F238E27FC236}">
              <a16:creationId xmlns:a16="http://schemas.microsoft.com/office/drawing/2014/main" id="{00000000-0008-0000-0000-00006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00" name="TextBox 6299">
          <a:extLst>
            <a:ext uri="{FF2B5EF4-FFF2-40B4-BE49-F238E27FC236}">
              <a16:creationId xmlns:a16="http://schemas.microsoft.com/office/drawing/2014/main" id="{00000000-0008-0000-0000-00006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01" name="TextBox 6300">
          <a:extLst>
            <a:ext uri="{FF2B5EF4-FFF2-40B4-BE49-F238E27FC236}">
              <a16:creationId xmlns:a16="http://schemas.microsoft.com/office/drawing/2014/main" id="{00000000-0008-0000-0000-00006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02" name="TextBox 6301">
          <a:extLst>
            <a:ext uri="{FF2B5EF4-FFF2-40B4-BE49-F238E27FC236}">
              <a16:creationId xmlns:a16="http://schemas.microsoft.com/office/drawing/2014/main" id="{00000000-0008-0000-0000-00006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03" name="TextBox 6302">
          <a:extLst>
            <a:ext uri="{FF2B5EF4-FFF2-40B4-BE49-F238E27FC236}">
              <a16:creationId xmlns:a16="http://schemas.microsoft.com/office/drawing/2014/main" id="{00000000-0008-0000-0000-00006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04" name="TextBox 6303">
          <a:extLst>
            <a:ext uri="{FF2B5EF4-FFF2-40B4-BE49-F238E27FC236}">
              <a16:creationId xmlns:a16="http://schemas.microsoft.com/office/drawing/2014/main" id="{00000000-0008-0000-0000-00006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05" name="TextBox 6304">
          <a:extLst>
            <a:ext uri="{FF2B5EF4-FFF2-40B4-BE49-F238E27FC236}">
              <a16:creationId xmlns:a16="http://schemas.microsoft.com/office/drawing/2014/main" id="{00000000-0008-0000-0000-000066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06" name="TextBox 6305">
          <a:extLst>
            <a:ext uri="{FF2B5EF4-FFF2-40B4-BE49-F238E27FC236}">
              <a16:creationId xmlns:a16="http://schemas.microsoft.com/office/drawing/2014/main" id="{00000000-0008-0000-0000-000067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07" name="TextBox 6306">
          <a:extLst>
            <a:ext uri="{FF2B5EF4-FFF2-40B4-BE49-F238E27FC236}">
              <a16:creationId xmlns:a16="http://schemas.microsoft.com/office/drawing/2014/main" id="{00000000-0008-0000-0000-000068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08" name="TextBox 6307">
          <a:extLst>
            <a:ext uri="{FF2B5EF4-FFF2-40B4-BE49-F238E27FC236}">
              <a16:creationId xmlns:a16="http://schemas.microsoft.com/office/drawing/2014/main" id="{00000000-0008-0000-0000-000069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09" name="TextBox 6308">
          <a:extLst>
            <a:ext uri="{FF2B5EF4-FFF2-40B4-BE49-F238E27FC236}">
              <a16:creationId xmlns:a16="http://schemas.microsoft.com/office/drawing/2014/main" id="{00000000-0008-0000-0000-00006A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10" name="TextBox 6309">
          <a:extLst>
            <a:ext uri="{FF2B5EF4-FFF2-40B4-BE49-F238E27FC236}">
              <a16:creationId xmlns:a16="http://schemas.microsoft.com/office/drawing/2014/main" id="{00000000-0008-0000-0000-00006B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11" name="TextBox 6310">
          <a:extLst>
            <a:ext uri="{FF2B5EF4-FFF2-40B4-BE49-F238E27FC236}">
              <a16:creationId xmlns:a16="http://schemas.microsoft.com/office/drawing/2014/main" id="{00000000-0008-0000-0000-00006C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12" name="TextBox 6311">
          <a:extLst>
            <a:ext uri="{FF2B5EF4-FFF2-40B4-BE49-F238E27FC236}">
              <a16:creationId xmlns:a16="http://schemas.microsoft.com/office/drawing/2014/main" id="{00000000-0008-0000-0000-00006D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13" name="TextBox 6312">
          <a:extLst>
            <a:ext uri="{FF2B5EF4-FFF2-40B4-BE49-F238E27FC236}">
              <a16:creationId xmlns:a16="http://schemas.microsoft.com/office/drawing/2014/main" id="{00000000-0008-0000-0000-00006E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14" name="TextBox 6313">
          <a:extLst>
            <a:ext uri="{FF2B5EF4-FFF2-40B4-BE49-F238E27FC236}">
              <a16:creationId xmlns:a16="http://schemas.microsoft.com/office/drawing/2014/main" id="{00000000-0008-0000-0000-00006F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15" name="TextBox 6314">
          <a:extLst>
            <a:ext uri="{FF2B5EF4-FFF2-40B4-BE49-F238E27FC236}">
              <a16:creationId xmlns:a16="http://schemas.microsoft.com/office/drawing/2014/main" id="{00000000-0008-0000-0000-000070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16" name="TextBox 6315">
          <a:extLst>
            <a:ext uri="{FF2B5EF4-FFF2-40B4-BE49-F238E27FC236}">
              <a16:creationId xmlns:a16="http://schemas.microsoft.com/office/drawing/2014/main" id="{00000000-0008-0000-0000-000071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17" name="TextBox 6316">
          <a:extLst>
            <a:ext uri="{FF2B5EF4-FFF2-40B4-BE49-F238E27FC236}">
              <a16:creationId xmlns:a16="http://schemas.microsoft.com/office/drawing/2014/main" id="{00000000-0008-0000-0000-000072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18" name="TextBox 6317">
          <a:extLst>
            <a:ext uri="{FF2B5EF4-FFF2-40B4-BE49-F238E27FC236}">
              <a16:creationId xmlns:a16="http://schemas.microsoft.com/office/drawing/2014/main" id="{00000000-0008-0000-0000-000073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19" name="TextBox 6318">
          <a:extLst>
            <a:ext uri="{FF2B5EF4-FFF2-40B4-BE49-F238E27FC236}">
              <a16:creationId xmlns:a16="http://schemas.microsoft.com/office/drawing/2014/main" id="{00000000-0008-0000-0000-000074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20" name="TextBox 6319">
          <a:extLst>
            <a:ext uri="{FF2B5EF4-FFF2-40B4-BE49-F238E27FC236}">
              <a16:creationId xmlns:a16="http://schemas.microsoft.com/office/drawing/2014/main" id="{00000000-0008-0000-0000-000075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21" name="TextBox 6320">
          <a:extLst>
            <a:ext uri="{FF2B5EF4-FFF2-40B4-BE49-F238E27FC236}">
              <a16:creationId xmlns:a16="http://schemas.microsoft.com/office/drawing/2014/main" id="{00000000-0008-0000-0000-000076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22" name="TextBox 6321">
          <a:extLst>
            <a:ext uri="{FF2B5EF4-FFF2-40B4-BE49-F238E27FC236}">
              <a16:creationId xmlns:a16="http://schemas.microsoft.com/office/drawing/2014/main" id="{00000000-0008-0000-0000-000077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23" name="TextBox 6322">
          <a:extLst>
            <a:ext uri="{FF2B5EF4-FFF2-40B4-BE49-F238E27FC236}">
              <a16:creationId xmlns:a16="http://schemas.microsoft.com/office/drawing/2014/main" id="{00000000-0008-0000-0000-000078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24" name="TextBox 6323">
          <a:extLst>
            <a:ext uri="{FF2B5EF4-FFF2-40B4-BE49-F238E27FC236}">
              <a16:creationId xmlns:a16="http://schemas.microsoft.com/office/drawing/2014/main" id="{00000000-0008-0000-0000-000079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25" name="TextBox 6324">
          <a:extLst>
            <a:ext uri="{FF2B5EF4-FFF2-40B4-BE49-F238E27FC236}">
              <a16:creationId xmlns:a16="http://schemas.microsoft.com/office/drawing/2014/main" id="{00000000-0008-0000-0000-00007A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26" name="TextBox 6325">
          <a:extLst>
            <a:ext uri="{FF2B5EF4-FFF2-40B4-BE49-F238E27FC236}">
              <a16:creationId xmlns:a16="http://schemas.microsoft.com/office/drawing/2014/main" id="{00000000-0008-0000-0000-00007B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27" name="TextBox 6326">
          <a:extLst>
            <a:ext uri="{FF2B5EF4-FFF2-40B4-BE49-F238E27FC236}">
              <a16:creationId xmlns:a16="http://schemas.microsoft.com/office/drawing/2014/main" id="{00000000-0008-0000-0000-00007C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28" name="TextBox 6327">
          <a:extLst>
            <a:ext uri="{FF2B5EF4-FFF2-40B4-BE49-F238E27FC236}">
              <a16:creationId xmlns:a16="http://schemas.microsoft.com/office/drawing/2014/main" id="{00000000-0008-0000-0000-00007D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29" name="TextBox 6328">
          <a:extLst>
            <a:ext uri="{FF2B5EF4-FFF2-40B4-BE49-F238E27FC236}">
              <a16:creationId xmlns:a16="http://schemas.microsoft.com/office/drawing/2014/main" id="{00000000-0008-0000-0000-00007E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30" name="TextBox 6329">
          <a:extLst>
            <a:ext uri="{FF2B5EF4-FFF2-40B4-BE49-F238E27FC236}">
              <a16:creationId xmlns:a16="http://schemas.microsoft.com/office/drawing/2014/main" id="{00000000-0008-0000-0000-00007F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31" name="TextBox 6330">
          <a:extLst>
            <a:ext uri="{FF2B5EF4-FFF2-40B4-BE49-F238E27FC236}">
              <a16:creationId xmlns:a16="http://schemas.microsoft.com/office/drawing/2014/main" id="{00000000-0008-0000-0000-000080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32" name="TextBox 6331">
          <a:extLst>
            <a:ext uri="{FF2B5EF4-FFF2-40B4-BE49-F238E27FC236}">
              <a16:creationId xmlns:a16="http://schemas.microsoft.com/office/drawing/2014/main" id="{00000000-0008-0000-0000-000081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33" name="TextBox 6332">
          <a:extLst>
            <a:ext uri="{FF2B5EF4-FFF2-40B4-BE49-F238E27FC236}">
              <a16:creationId xmlns:a16="http://schemas.microsoft.com/office/drawing/2014/main" id="{00000000-0008-0000-0000-000082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34" name="TextBox 6333">
          <a:extLst>
            <a:ext uri="{FF2B5EF4-FFF2-40B4-BE49-F238E27FC236}">
              <a16:creationId xmlns:a16="http://schemas.microsoft.com/office/drawing/2014/main" id="{00000000-0008-0000-0000-000083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35" name="TextBox 6334">
          <a:extLst>
            <a:ext uri="{FF2B5EF4-FFF2-40B4-BE49-F238E27FC236}">
              <a16:creationId xmlns:a16="http://schemas.microsoft.com/office/drawing/2014/main" id="{00000000-0008-0000-0000-000084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36" name="TextBox 6335">
          <a:extLst>
            <a:ext uri="{FF2B5EF4-FFF2-40B4-BE49-F238E27FC236}">
              <a16:creationId xmlns:a16="http://schemas.microsoft.com/office/drawing/2014/main" id="{00000000-0008-0000-0000-000085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37" name="TextBox 6336">
          <a:extLst>
            <a:ext uri="{FF2B5EF4-FFF2-40B4-BE49-F238E27FC236}">
              <a16:creationId xmlns:a16="http://schemas.microsoft.com/office/drawing/2014/main" id="{00000000-0008-0000-0000-000086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38" name="TextBox 6337">
          <a:extLst>
            <a:ext uri="{FF2B5EF4-FFF2-40B4-BE49-F238E27FC236}">
              <a16:creationId xmlns:a16="http://schemas.microsoft.com/office/drawing/2014/main" id="{00000000-0008-0000-0000-000087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39" name="TextBox 6338">
          <a:extLst>
            <a:ext uri="{FF2B5EF4-FFF2-40B4-BE49-F238E27FC236}">
              <a16:creationId xmlns:a16="http://schemas.microsoft.com/office/drawing/2014/main" id="{00000000-0008-0000-0000-000088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40" name="TextBox 6339">
          <a:extLst>
            <a:ext uri="{FF2B5EF4-FFF2-40B4-BE49-F238E27FC236}">
              <a16:creationId xmlns:a16="http://schemas.microsoft.com/office/drawing/2014/main" id="{00000000-0008-0000-0000-000089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41" name="TextBox 6340">
          <a:extLst>
            <a:ext uri="{FF2B5EF4-FFF2-40B4-BE49-F238E27FC236}">
              <a16:creationId xmlns:a16="http://schemas.microsoft.com/office/drawing/2014/main" id="{00000000-0008-0000-0000-00008A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42" name="TextBox 6341">
          <a:extLst>
            <a:ext uri="{FF2B5EF4-FFF2-40B4-BE49-F238E27FC236}">
              <a16:creationId xmlns:a16="http://schemas.microsoft.com/office/drawing/2014/main" id="{00000000-0008-0000-0000-00008B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43" name="TextBox 6342">
          <a:extLst>
            <a:ext uri="{FF2B5EF4-FFF2-40B4-BE49-F238E27FC236}">
              <a16:creationId xmlns:a16="http://schemas.microsoft.com/office/drawing/2014/main" id="{00000000-0008-0000-0000-00008C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44" name="TextBox 6343">
          <a:extLst>
            <a:ext uri="{FF2B5EF4-FFF2-40B4-BE49-F238E27FC236}">
              <a16:creationId xmlns:a16="http://schemas.microsoft.com/office/drawing/2014/main" id="{00000000-0008-0000-0000-00008D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45" name="TextBox 6344">
          <a:extLst>
            <a:ext uri="{FF2B5EF4-FFF2-40B4-BE49-F238E27FC236}">
              <a16:creationId xmlns:a16="http://schemas.microsoft.com/office/drawing/2014/main" id="{00000000-0008-0000-0000-00008E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46" name="TextBox 6345">
          <a:extLst>
            <a:ext uri="{FF2B5EF4-FFF2-40B4-BE49-F238E27FC236}">
              <a16:creationId xmlns:a16="http://schemas.microsoft.com/office/drawing/2014/main" id="{00000000-0008-0000-0000-00008F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47" name="TextBox 6346">
          <a:extLst>
            <a:ext uri="{FF2B5EF4-FFF2-40B4-BE49-F238E27FC236}">
              <a16:creationId xmlns:a16="http://schemas.microsoft.com/office/drawing/2014/main" id="{00000000-0008-0000-0000-000090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48" name="TextBox 6347">
          <a:extLst>
            <a:ext uri="{FF2B5EF4-FFF2-40B4-BE49-F238E27FC236}">
              <a16:creationId xmlns:a16="http://schemas.microsoft.com/office/drawing/2014/main" id="{00000000-0008-0000-0000-000091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49" name="TextBox 6348">
          <a:extLst>
            <a:ext uri="{FF2B5EF4-FFF2-40B4-BE49-F238E27FC236}">
              <a16:creationId xmlns:a16="http://schemas.microsoft.com/office/drawing/2014/main" id="{00000000-0008-0000-0000-000092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50" name="TextBox 6349">
          <a:extLst>
            <a:ext uri="{FF2B5EF4-FFF2-40B4-BE49-F238E27FC236}">
              <a16:creationId xmlns:a16="http://schemas.microsoft.com/office/drawing/2014/main" id="{00000000-0008-0000-0000-000093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51" name="TextBox 6350">
          <a:extLst>
            <a:ext uri="{FF2B5EF4-FFF2-40B4-BE49-F238E27FC236}">
              <a16:creationId xmlns:a16="http://schemas.microsoft.com/office/drawing/2014/main" id="{00000000-0008-0000-0000-000094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52" name="TextBox 6351">
          <a:extLst>
            <a:ext uri="{FF2B5EF4-FFF2-40B4-BE49-F238E27FC236}">
              <a16:creationId xmlns:a16="http://schemas.microsoft.com/office/drawing/2014/main" id="{00000000-0008-0000-0000-000095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53" name="TextBox 6352">
          <a:extLst>
            <a:ext uri="{FF2B5EF4-FFF2-40B4-BE49-F238E27FC236}">
              <a16:creationId xmlns:a16="http://schemas.microsoft.com/office/drawing/2014/main" id="{00000000-0008-0000-0000-000096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54" name="TextBox 6353">
          <a:extLst>
            <a:ext uri="{FF2B5EF4-FFF2-40B4-BE49-F238E27FC236}">
              <a16:creationId xmlns:a16="http://schemas.microsoft.com/office/drawing/2014/main" id="{00000000-0008-0000-0000-000097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55" name="TextBox 6354">
          <a:extLst>
            <a:ext uri="{FF2B5EF4-FFF2-40B4-BE49-F238E27FC236}">
              <a16:creationId xmlns:a16="http://schemas.microsoft.com/office/drawing/2014/main" id="{00000000-0008-0000-0000-000098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56" name="TextBox 6355">
          <a:extLst>
            <a:ext uri="{FF2B5EF4-FFF2-40B4-BE49-F238E27FC236}">
              <a16:creationId xmlns:a16="http://schemas.microsoft.com/office/drawing/2014/main" id="{00000000-0008-0000-0000-000099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57" name="TextBox 6356">
          <a:extLst>
            <a:ext uri="{FF2B5EF4-FFF2-40B4-BE49-F238E27FC236}">
              <a16:creationId xmlns:a16="http://schemas.microsoft.com/office/drawing/2014/main" id="{00000000-0008-0000-0000-00009A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58" name="TextBox 6357">
          <a:extLst>
            <a:ext uri="{FF2B5EF4-FFF2-40B4-BE49-F238E27FC236}">
              <a16:creationId xmlns:a16="http://schemas.microsoft.com/office/drawing/2014/main" id="{00000000-0008-0000-0000-00009B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59" name="TextBox 6358">
          <a:extLst>
            <a:ext uri="{FF2B5EF4-FFF2-40B4-BE49-F238E27FC236}">
              <a16:creationId xmlns:a16="http://schemas.microsoft.com/office/drawing/2014/main" id="{00000000-0008-0000-0000-00009C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60" name="TextBox 6359">
          <a:extLst>
            <a:ext uri="{FF2B5EF4-FFF2-40B4-BE49-F238E27FC236}">
              <a16:creationId xmlns:a16="http://schemas.microsoft.com/office/drawing/2014/main" id="{00000000-0008-0000-0000-00009D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61" name="TextBox 6360">
          <a:extLst>
            <a:ext uri="{FF2B5EF4-FFF2-40B4-BE49-F238E27FC236}">
              <a16:creationId xmlns:a16="http://schemas.microsoft.com/office/drawing/2014/main" id="{00000000-0008-0000-0000-00009E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62" name="TextBox 6361">
          <a:extLst>
            <a:ext uri="{FF2B5EF4-FFF2-40B4-BE49-F238E27FC236}">
              <a16:creationId xmlns:a16="http://schemas.microsoft.com/office/drawing/2014/main" id="{00000000-0008-0000-0000-00009F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63" name="TextBox 6362">
          <a:extLst>
            <a:ext uri="{FF2B5EF4-FFF2-40B4-BE49-F238E27FC236}">
              <a16:creationId xmlns:a16="http://schemas.microsoft.com/office/drawing/2014/main" id="{00000000-0008-0000-0000-0000A0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64" name="TextBox 6363">
          <a:extLst>
            <a:ext uri="{FF2B5EF4-FFF2-40B4-BE49-F238E27FC236}">
              <a16:creationId xmlns:a16="http://schemas.microsoft.com/office/drawing/2014/main" id="{00000000-0008-0000-0000-0000A1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65" name="TextBox 6364">
          <a:extLst>
            <a:ext uri="{FF2B5EF4-FFF2-40B4-BE49-F238E27FC236}">
              <a16:creationId xmlns:a16="http://schemas.microsoft.com/office/drawing/2014/main" id="{00000000-0008-0000-0000-0000A2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66" name="TextBox 6365">
          <a:extLst>
            <a:ext uri="{FF2B5EF4-FFF2-40B4-BE49-F238E27FC236}">
              <a16:creationId xmlns:a16="http://schemas.microsoft.com/office/drawing/2014/main" id="{00000000-0008-0000-0000-0000A3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67" name="TextBox 6366">
          <a:extLst>
            <a:ext uri="{FF2B5EF4-FFF2-40B4-BE49-F238E27FC236}">
              <a16:creationId xmlns:a16="http://schemas.microsoft.com/office/drawing/2014/main" id="{00000000-0008-0000-0000-0000A4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68" name="TextBox 6367">
          <a:extLst>
            <a:ext uri="{FF2B5EF4-FFF2-40B4-BE49-F238E27FC236}">
              <a16:creationId xmlns:a16="http://schemas.microsoft.com/office/drawing/2014/main" id="{00000000-0008-0000-0000-0000A5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69" name="TextBox 6368">
          <a:extLst>
            <a:ext uri="{FF2B5EF4-FFF2-40B4-BE49-F238E27FC236}">
              <a16:creationId xmlns:a16="http://schemas.microsoft.com/office/drawing/2014/main" id="{00000000-0008-0000-0000-0000A6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70" name="TextBox 6369">
          <a:extLst>
            <a:ext uri="{FF2B5EF4-FFF2-40B4-BE49-F238E27FC236}">
              <a16:creationId xmlns:a16="http://schemas.microsoft.com/office/drawing/2014/main" id="{00000000-0008-0000-0000-0000A7010000}"/>
            </a:ext>
          </a:extLst>
        </xdr:cNvPr>
        <xdr:cNvSpPr txBox="1"/>
      </xdr:nvSpPr>
      <xdr:spPr>
        <a:xfrm>
          <a:off x="826770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71" name="TextBox 6370">
          <a:extLst>
            <a:ext uri="{FF2B5EF4-FFF2-40B4-BE49-F238E27FC236}">
              <a16:creationId xmlns:a16="http://schemas.microsoft.com/office/drawing/2014/main" id="{00000000-0008-0000-0000-0000A8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72" name="TextBox 6371">
          <a:extLst>
            <a:ext uri="{FF2B5EF4-FFF2-40B4-BE49-F238E27FC236}">
              <a16:creationId xmlns:a16="http://schemas.microsoft.com/office/drawing/2014/main" id="{00000000-0008-0000-0000-0000A9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73" name="TextBox 6372">
          <a:extLst>
            <a:ext uri="{FF2B5EF4-FFF2-40B4-BE49-F238E27FC236}">
              <a16:creationId xmlns:a16="http://schemas.microsoft.com/office/drawing/2014/main" id="{00000000-0008-0000-0000-0000AA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74" name="TextBox 6373">
          <a:extLst>
            <a:ext uri="{FF2B5EF4-FFF2-40B4-BE49-F238E27FC236}">
              <a16:creationId xmlns:a16="http://schemas.microsoft.com/office/drawing/2014/main" id="{00000000-0008-0000-0000-0000AB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75" name="TextBox 6374">
          <a:extLst>
            <a:ext uri="{FF2B5EF4-FFF2-40B4-BE49-F238E27FC236}">
              <a16:creationId xmlns:a16="http://schemas.microsoft.com/office/drawing/2014/main" id="{00000000-0008-0000-0000-0000AC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76" name="TextBox 6375">
          <a:extLst>
            <a:ext uri="{FF2B5EF4-FFF2-40B4-BE49-F238E27FC236}">
              <a16:creationId xmlns:a16="http://schemas.microsoft.com/office/drawing/2014/main" id="{00000000-0008-0000-0000-0000AD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77" name="TextBox 6376">
          <a:extLst>
            <a:ext uri="{FF2B5EF4-FFF2-40B4-BE49-F238E27FC236}">
              <a16:creationId xmlns:a16="http://schemas.microsoft.com/office/drawing/2014/main" id="{00000000-0008-0000-0000-0000AE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6378" name="TextBox 6377">
          <a:extLst>
            <a:ext uri="{FF2B5EF4-FFF2-40B4-BE49-F238E27FC236}">
              <a16:creationId xmlns:a16="http://schemas.microsoft.com/office/drawing/2014/main" id="{00000000-0008-0000-0000-0000AF010000}"/>
            </a:ext>
          </a:extLst>
        </xdr:cNvPr>
        <xdr:cNvSpPr txBox="1"/>
      </xdr:nvSpPr>
      <xdr:spPr>
        <a:xfrm>
          <a:off x="12580620" y="35059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379" name="TextBox 6378">
          <a:extLst>
            <a:ext uri="{FF2B5EF4-FFF2-40B4-BE49-F238E27FC236}">
              <a16:creationId xmlns:a16="http://schemas.microsoft.com/office/drawing/2014/main" id="{00000000-0008-0000-0000-0000B001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380" name="TextBox 6379">
          <a:extLst>
            <a:ext uri="{FF2B5EF4-FFF2-40B4-BE49-F238E27FC236}">
              <a16:creationId xmlns:a16="http://schemas.microsoft.com/office/drawing/2014/main" id="{00000000-0008-0000-0000-0000B1010000}"/>
            </a:ext>
          </a:extLst>
        </xdr:cNvPr>
        <xdr:cNvSpPr txBox="1"/>
      </xdr:nvSpPr>
      <xdr:spPr>
        <a:xfrm>
          <a:off x="826770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81" name="TextBox 6380">
          <a:extLst>
            <a:ext uri="{FF2B5EF4-FFF2-40B4-BE49-F238E27FC236}">
              <a16:creationId xmlns:a16="http://schemas.microsoft.com/office/drawing/2014/main" id="{00000000-0008-0000-0000-0000B2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82" name="TextBox 6381">
          <a:extLst>
            <a:ext uri="{FF2B5EF4-FFF2-40B4-BE49-F238E27FC236}">
              <a16:creationId xmlns:a16="http://schemas.microsoft.com/office/drawing/2014/main" id="{00000000-0008-0000-0000-0000B3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83" name="TextBox 6382">
          <a:extLst>
            <a:ext uri="{FF2B5EF4-FFF2-40B4-BE49-F238E27FC236}">
              <a16:creationId xmlns:a16="http://schemas.microsoft.com/office/drawing/2014/main" id="{00000000-0008-0000-0000-0000B4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84" name="TextBox 6383">
          <a:extLst>
            <a:ext uri="{FF2B5EF4-FFF2-40B4-BE49-F238E27FC236}">
              <a16:creationId xmlns:a16="http://schemas.microsoft.com/office/drawing/2014/main" id="{00000000-0008-0000-0000-0000B5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85" name="TextBox 6384">
          <a:extLst>
            <a:ext uri="{FF2B5EF4-FFF2-40B4-BE49-F238E27FC236}">
              <a16:creationId xmlns:a16="http://schemas.microsoft.com/office/drawing/2014/main" id="{00000000-0008-0000-0000-0000B6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86" name="TextBox 6385">
          <a:extLst>
            <a:ext uri="{FF2B5EF4-FFF2-40B4-BE49-F238E27FC236}">
              <a16:creationId xmlns:a16="http://schemas.microsoft.com/office/drawing/2014/main" id="{00000000-0008-0000-0000-0000B7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87" name="TextBox 6386">
          <a:extLst>
            <a:ext uri="{FF2B5EF4-FFF2-40B4-BE49-F238E27FC236}">
              <a16:creationId xmlns:a16="http://schemas.microsoft.com/office/drawing/2014/main" id="{00000000-0008-0000-0000-0000B8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388" name="TextBox 6387">
          <a:extLst>
            <a:ext uri="{FF2B5EF4-FFF2-40B4-BE49-F238E27FC236}">
              <a16:creationId xmlns:a16="http://schemas.microsoft.com/office/drawing/2014/main" id="{00000000-0008-0000-0000-0000B9010000}"/>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89" name="TextBox 6388">
          <a:extLst>
            <a:ext uri="{FF2B5EF4-FFF2-40B4-BE49-F238E27FC236}">
              <a16:creationId xmlns:a16="http://schemas.microsoft.com/office/drawing/2014/main" id="{00000000-0008-0000-0000-0000B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90" name="TextBox 6389">
          <a:extLst>
            <a:ext uri="{FF2B5EF4-FFF2-40B4-BE49-F238E27FC236}">
              <a16:creationId xmlns:a16="http://schemas.microsoft.com/office/drawing/2014/main" id="{00000000-0008-0000-0000-0000B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91" name="TextBox 6390">
          <a:extLst>
            <a:ext uri="{FF2B5EF4-FFF2-40B4-BE49-F238E27FC236}">
              <a16:creationId xmlns:a16="http://schemas.microsoft.com/office/drawing/2014/main" id="{00000000-0008-0000-0000-0000B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92" name="TextBox 6391">
          <a:extLst>
            <a:ext uri="{FF2B5EF4-FFF2-40B4-BE49-F238E27FC236}">
              <a16:creationId xmlns:a16="http://schemas.microsoft.com/office/drawing/2014/main" id="{00000000-0008-0000-0000-0000B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93" name="TextBox 6392">
          <a:extLst>
            <a:ext uri="{FF2B5EF4-FFF2-40B4-BE49-F238E27FC236}">
              <a16:creationId xmlns:a16="http://schemas.microsoft.com/office/drawing/2014/main" id="{00000000-0008-0000-0000-0000B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94" name="TextBox 6393">
          <a:extLst>
            <a:ext uri="{FF2B5EF4-FFF2-40B4-BE49-F238E27FC236}">
              <a16:creationId xmlns:a16="http://schemas.microsoft.com/office/drawing/2014/main" id="{00000000-0008-0000-0000-0000B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95" name="TextBox 6394">
          <a:extLst>
            <a:ext uri="{FF2B5EF4-FFF2-40B4-BE49-F238E27FC236}">
              <a16:creationId xmlns:a16="http://schemas.microsoft.com/office/drawing/2014/main" id="{00000000-0008-0000-0000-0000C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96" name="TextBox 6395">
          <a:extLst>
            <a:ext uri="{FF2B5EF4-FFF2-40B4-BE49-F238E27FC236}">
              <a16:creationId xmlns:a16="http://schemas.microsoft.com/office/drawing/2014/main" id="{00000000-0008-0000-0000-0000C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97" name="TextBox 6396">
          <a:extLst>
            <a:ext uri="{FF2B5EF4-FFF2-40B4-BE49-F238E27FC236}">
              <a16:creationId xmlns:a16="http://schemas.microsoft.com/office/drawing/2014/main" id="{00000000-0008-0000-0000-0000C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98" name="TextBox 6397">
          <a:extLst>
            <a:ext uri="{FF2B5EF4-FFF2-40B4-BE49-F238E27FC236}">
              <a16:creationId xmlns:a16="http://schemas.microsoft.com/office/drawing/2014/main" id="{00000000-0008-0000-0000-0000C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399" name="TextBox 6398">
          <a:extLst>
            <a:ext uri="{FF2B5EF4-FFF2-40B4-BE49-F238E27FC236}">
              <a16:creationId xmlns:a16="http://schemas.microsoft.com/office/drawing/2014/main" id="{00000000-0008-0000-0000-0000C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00" name="TextBox 6399">
          <a:extLst>
            <a:ext uri="{FF2B5EF4-FFF2-40B4-BE49-F238E27FC236}">
              <a16:creationId xmlns:a16="http://schemas.microsoft.com/office/drawing/2014/main" id="{00000000-0008-0000-0000-0000C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01" name="TextBox 6400">
          <a:extLst>
            <a:ext uri="{FF2B5EF4-FFF2-40B4-BE49-F238E27FC236}">
              <a16:creationId xmlns:a16="http://schemas.microsoft.com/office/drawing/2014/main" id="{00000000-0008-0000-0000-0000C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02" name="TextBox 6401">
          <a:extLst>
            <a:ext uri="{FF2B5EF4-FFF2-40B4-BE49-F238E27FC236}">
              <a16:creationId xmlns:a16="http://schemas.microsoft.com/office/drawing/2014/main" id="{00000000-0008-0000-0000-0000C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03" name="TextBox 6402">
          <a:extLst>
            <a:ext uri="{FF2B5EF4-FFF2-40B4-BE49-F238E27FC236}">
              <a16:creationId xmlns:a16="http://schemas.microsoft.com/office/drawing/2014/main" id="{00000000-0008-0000-0000-0000C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04" name="TextBox 6403">
          <a:extLst>
            <a:ext uri="{FF2B5EF4-FFF2-40B4-BE49-F238E27FC236}">
              <a16:creationId xmlns:a16="http://schemas.microsoft.com/office/drawing/2014/main" id="{00000000-0008-0000-0000-0000C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05" name="TextBox 6404">
          <a:extLst>
            <a:ext uri="{FF2B5EF4-FFF2-40B4-BE49-F238E27FC236}">
              <a16:creationId xmlns:a16="http://schemas.microsoft.com/office/drawing/2014/main" id="{00000000-0008-0000-0000-0000C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06" name="TextBox 6405">
          <a:extLst>
            <a:ext uri="{FF2B5EF4-FFF2-40B4-BE49-F238E27FC236}">
              <a16:creationId xmlns:a16="http://schemas.microsoft.com/office/drawing/2014/main" id="{00000000-0008-0000-0000-0000C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07" name="TextBox 6406">
          <a:extLst>
            <a:ext uri="{FF2B5EF4-FFF2-40B4-BE49-F238E27FC236}">
              <a16:creationId xmlns:a16="http://schemas.microsoft.com/office/drawing/2014/main" id="{00000000-0008-0000-0000-0000C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08" name="TextBox 6407">
          <a:extLst>
            <a:ext uri="{FF2B5EF4-FFF2-40B4-BE49-F238E27FC236}">
              <a16:creationId xmlns:a16="http://schemas.microsoft.com/office/drawing/2014/main" id="{00000000-0008-0000-0000-0000C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09" name="TextBox 6408">
          <a:extLst>
            <a:ext uri="{FF2B5EF4-FFF2-40B4-BE49-F238E27FC236}">
              <a16:creationId xmlns:a16="http://schemas.microsoft.com/office/drawing/2014/main" id="{00000000-0008-0000-0000-0000C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10" name="TextBox 6409">
          <a:extLst>
            <a:ext uri="{FF2B5EF4-FFF2-40B4-BE49-F238E27FC236}">
              <a16:creationId xmlns:a16="http://schemas.microsoft.com/office/drawing/2014/main" id="{00000000-0008-0000-0000-0000C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11" name="TextBox 6410">
          <a:extLst>
            <a:ext uri="{FF2B5EF4-FFF2-40B4-BE49-F238E27FC236}">
              <a16:creationId xmlns:a16="http://schemas.microsoft.com/office/drawing/2014/main" id="{00000000-0008-0000-0000-0000D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12" name="TextBox 6411">
          <a:extLst>
            <a:ext uri="{FF2B5EF4-FFF2-40B4-BE49-F238E27FC236}">
              <a16:creationId xmlns:a16="http://schemas.microsoft.com/office/drawing/2014/main" id="{00000000-0008-0000-0000-0000D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13" name="TextBox 6412">
          <a:extLst>
            <a:ext uri="{FF2B5EF4-FFF2-40B4-BE49-F238E27FC236}">
              <a16:creationId xmlns:a16="http://schemas.microsoft.com/office/drawing/2014/main" id="{00000000-0008-0000-0000-0000D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14" name="TextBox 6413">
          <a:extLst>
            <a:ext uri="{FF2B5EF4-FFF2-40B4-BE49-F238E27FC236}">
              <a16:creationId xmlns:a16="http://schemas.microsoft.com/office/drawing/2014/main" id="{00000000-0008-0000-0000-0000D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15" name="TextBox 6414">
          <a:extLst>
            <a:ext uri="{FF2B5EF4-FFF2-40B4-BE49-F238E27FC236}">
              <a16:creationId xmlns:a16="http://schemas.microsoft.com/office/drawing/2014/main" id="{00000000-0008-0000-0000-0000D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16" name="TextBox 6415">
          <a:extLst>
            <a:ext uri="{FF2B5EF4-FFF2-40B4-BE49-F238E27FC236}">
              <a16:creationId xmlns:a16="http://schemas.microsoft.com/office/drawing/2014/main" id="{00000000-0008-0000-0000-0000D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17" name="TextBox 6416">
          <a:extLst>
            <a:ext uri="{FF2B5EF4-FFF2-40B4-BE49-F238E27FC236}">
              <a16:creationId xmlns:a16="http://schemas.microsoft.com/office/drawing/2014/main" id="{00000000-0008-0000-0000-0000D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18" name="TextBox 6417">
          <a:extLst>
            <a:ext uri="{FF2B5EF4-FFF2-40B4-BE49-F238E27FC236}">
              <a16:creationId xmlns:a16="http://schemas.microsoft.com/office/drawing/2014/main" id="{00000000-0008-0000-0000-0000D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19" name="TextBox 6418">
          <a:extLst>
            <a:ext uri="{FF2B5EF4-FFF2-40B4-BE49-F238E27FC236}">
              <a16:creationId xmlns:a16="http://schemas.microsoft.com/office/drawing/2014/main" id="{00000000-0008-0000-0000-0000D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20" name="TextBox 6419">
          <a:extLst>
            <a:ext uri="{FF2B5EF4-FFF2-40B4-BE49-F238E27FC236}">
              <a16:creationId xmlns:a16="http://schemas.microsoft.com/office/drawing/2014/main" id="{00000000-0008-0000-0000-0000D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21" name="TextBox 6420">
          <a:extLst>
            <a:ext uri="{FF2B5EF4-FFF2-40B4-BE49-F238E27FC236}">
              <a16:creationId xmlns:a16="http://schemas.microsoft.com/office/drawing/2014/main" id="{00000000-0008-0000-0000-0000D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22" name="TextBox 6421">
          <a:extLst>
            <a:ext uri="{FF2B5EF4-FFF2-40B4-BE49-F238E27FC236}">
              <a16:creationId xmlns:a16="http://schemas.microsoft.com/office/drawing/2014/main" id="{00000000-0008-0000-0000-0000D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23" name="TextBox 6422">
          <a:extLst>
            <a:ext uri="{FF2B5EF4-FFF2-40B4-BE49-F238E27FC236}">
              <a16:creationId xmlns:a16="http://schemas.microsoft.com/office/drawing/2014/main" id="{00000000-0008-0000-0000-0000D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24" name="TextBox 6423">
          <a:extLst>
            <a:ext uri="{FF2B5EF4-FFF2-40B4-BE49-F238E27FC236}">
              <a16:creationId xmlns:a16="http://schemas.microsoft.com/office/drawing/2014/main" id="{00000000-0008-0000-0000-0000D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25" name="TextBox 6424">
          <a:extLst>
            <a:ext uri="{FF2B5EF4-FFF2-40B4-BE49-F238E27FC236}">
              <a16:creationId xmlns:a16="http://schemas.microsoft.com/office/drawing/2014/main" id="{00000000-0008-0000-0000-0000D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26" name="TextBox 6425">
          <a:extLst>
            <a:ext uri="{FF2B5EF4-FFF2-40B4-BE49-F238E27FC236}">
              <a16:creationId xmlns:a16="http://schemas.microsoft.com/office/drawing/2014/main" id="{00000000-0008-0000-0000-0000D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27" name="TextBox 6426">
          <a:extLst>
            <a:ext uri="{FF2B5EF4-FFF2-40B4-BE49-F238E27FC236}">
              <a16:creationId xmlns:a16="http://schemas.microsoft.com/office/drawing/2014/main" id="{00000000-0008-0000-0000-0000E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28" name="TextBox 6427">
          <a:extLst>
            <a:ext uri="{FF2B5EF4-FFF2-40B4-BE49-F238E27FC236}">
              <a16:creationId xmlns:a16="http://schemas.microsoft.com/office/drawing/2014/main" id="{00000000-0008-0000-0000-0000E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29" name="TextBox 6428">
          <a:extLst>
            <a:ext uri="{FF2B5EF4-FFF2-40B4-BE49-F238E27FC236}">
              <a16:creationId xmlns:a16="http://schemas.microsoft.com/office/drawing/2014/main" id="{00000000-0008-0000-0000-0000E2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30" name="TextBox 6429">
          <a:extLst>
            <a:ext uri="{FF2B5EF4-FFF2-40B4-BE49-F238E27FC236}">
              <a16:creationId xmlns:a16="http://schemas.microsoft.com/office/drawing/2014/main" id="{00000000-0008-0000-0000-0000E3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31" name="TextBox 6430">
          <a:extLst>
            <a:ext uri="{FF2B5EF4-FFF2-40B4-BE49-F238E27FC236}">
              <a16:creationId xmlns:a16="http://schemas.microsoft.com/office/drawing/2014/main" id="{00000000-0008-0000-0000-0000E4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32" name="TextBox 6431">
          <a:extLst>
            <a:ext uri="{FF2B5EF4-FFF2-40B4-BE49-F238E27FC236}">
              <a16:creationId xmlns:a16="http://schemas.microsoft.com/office/drawing/2014/main" id="{00000000-0008-0000-0000-0000E5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33" name="TextBox 6432">
          <a:extLst>
            <a:ext uri="{FF2B5EF4-FFF2-40B4-BE49-F238E27FC236}">
              <a16:creationId xmlns:a16="http://schemas.microsoft.com/office/drawing/2014/main" id="{00000000-0008-0000-0000-0000E6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34" name="TextBox 6433">
          <a:extLst>
            <a:ext uri="{FF2B5EF4-FFF2-40B4-BE49-F238E27FC236}">
              <a16:creationId xmlns:a16="http://schemas.microsoft.com/office/drawing/2014/main" id="{00000000-0008-0000-0000-0000E7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35" name="TextBox 6434">
          <a:extLst>
            <a:ext uri="{FF2B5EF4-FFF2-40B4-BE49-F238E27FC236}">
              <a16:creationId xmlns:a16="http://schemas.microsoft.com/office/drawing/2014/main" id="{00000000-0008-0000-0000-0000E8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36" name="TextBox 6435">
          <a:extLst>
            <a:ext uri="{FF2B5EF4-FFF2-40B4-BE49-F238E27FC236}">
              <a16:creationId xmlns:a16="http://schemas.microsoft.com/office/drawing/2014/main" id="{00000000-0008-0000-0000-0000E9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37" name="TextBox 6436">
          <a:extLst>
            <a:ext uri="{FF2B5EF4-FFF2-40B4-BE49-F238E27FC236}">
              <a16:creationId xmlns:a16="http://schemas.microsoft.com/office/drawing/2014/main" id="{00000000-0008-0000-0000-0000EA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38" name="TextBox 6437">
          <a:extLst>
            <a:ext uri="{FF2B5EF4-FFF2-40B4-BE49-F238E27FC236}">
              <a16:creationId xmlns:a16="http://schemas.microsoft.com/office/drawing/2014/main" id="{00000000-0008-0000-0000-0000EB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39" name="TextBox 6438">
          <a:extLst>
            <a:ext uri="{FF2B5EF4-FFF2-40B4-BE49-F238E27FC236}">
              <a16:creationId xmlns:a16="http://schemas.microsoft.com/office/drawing/2014/main" id="{00000000-0008-0000-0000-0000EC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40" name="TextBox 6439">
          <a:extLst>
            <a:ext uri="{FF2B5EF4-FFF2-40B4-BE49-F238E27FC236}">
              <a16:creationId xmlns:a16="http://schemas.microsoft.com/office/drawing/2014/main" id="{00000000-0008-0000-0000-0000ED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41" name="TextBox 6440">
          <a:extLst>
            <a:ext uri="{FF2B5EF4-FFF2-40B4-BE49-F238E27FC236}">
              <a16:creationId xmlns:a16="http://schemas.microsoft.com/office/drawing/2014/main" id="{00000000-0008-0000-0000-0000EE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42" name="TextBox 6441">
          <a:extLst>
            <a:ext uri="{FF2B5EF4-FFF2-40B4-BE49-F238E27FC236}">
              <a16:creationId xmlns:a16="http://schemas.microsoft.com/office/drawing/2014/main" id="{00000000-0008-0000-0000-0000EF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43" name="TextBox 6442">
          <a:extLst>
            <a:ext uri="{FF2B5EF4-FFF2-40B4-BE49-F238E27FC236}">
              <a16:creationId xmlns:a16="http://schemas.microsoft.com/office/drawing/2014/main" id="{00000000-0008-0000-0000-0000F0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44" name="TextBox 6443">
          <a:extLst>
            <a:ext uri="{FF2B5EF4-FFF2-40B4-BE49-F238E27FC236}">
              <a16:creationId xmlns:a16="http://schemas.microsoft.com/office/drawing/2014/main" id="{00000000-0008-0000-0000-0000F1010000}"/>
            </a:ext>
          </a:extLst>
        </xdr:cNvPr>
        <xdr:cNvSpPr txBox="1"/>
      </xdr:nvSpPr>
      <xdr:spPr>
        <a:xfrm>
          <a:off x="826770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45" name="TextBox 6444">
          <a:extLst>
            <a:ext uri="{FF2B5EF4-FFF2-40B4-BE49-F238E27FC236}">
              <a16:creationId xmlns:a16="http://schemas.microsoft.com/office/drawing/2014/main" id="{00000000-0008-0000-0000-0000F2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46" name="TextBox 6445">
          <a:extLst>
            <a:ext uri="{FF2B5EF4-FFF2-40B4-BE49-F238E27FC236}">
              <a16:creationId xmlns:a16="http://schemas.microsoft.com/office/drawing/2014/main" id="{00000000-0008-0000-0000-0000F3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47" name="TextBox 6446">
          <a:extLst>
            <a:ext uri="{FF2B5EF4-FFF2-40B4-BE49-F238E27FC236}">
              <a16:creationId xmlns:a16="http://schemas.microsoft.com/office/drawing/2014/main" id="{00000000-0008-0000-0000-0000F4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48" name="TextBox 6447">
          <a:extLst>
            <a:ext uri="{FF2B5EF4-FFF2-40B4-BE49-F238E27FC236}">
              <a16:creationId xmlns:a16="http://schemas.microsoft.com/office/drawing/2014/main" id="{00000000-0008-0000-0000-0000F5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49" name="TextBox 6448">
          <a:extLst>
            <a:ext uri="{FF2B5EF4-FFF2-40B4-BE49-F238E27FC236}">
              <a16:creationId xmlns:a16="http://schemas.microsoft.com/office/drawing/2014/main" id="{00000000-0008-0000-0000-0000F6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50" name="TextBox 6449">
          <a:extLst>
            <a:ext uri="{FF2B5EF4-FFF2-40B4-BE49-F238E27FC236}">
              <a16:creationId xmlns:a16="http://schemas.microsoft.com/office/drawing/2014/main" id="{00000000-0008-0000-0000-0000F7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51" name="TextBox 6450">
          <a:extLst>
            <a:ext uri="{FF2B5EF4-FFF2-40B4-BE49-F238E27FC236}">
              <a16:creationId xmlns:a16="http://schemas.microsoft.com/office/drawing/2014/main" id="{00000000-0008-0000-0000-0000F8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6452" name="TextBox 6451">
          <a:extLst>
            <a:ext uri="{FF2B5EF4-FFF2-40B4-BE49-F238E27FC236}">
              <a16:creationId xmlns:a16="http://schemas.microsoft.com/office/drawing/2014/main" id="{00000000-0008-0000-0000-0000F9010000}"/>
            </a:ext>
          </a:extLst>
        </xdr:cNvPr>
        <xdr:cNvSpPr txBox="1"/>
      </xdr:nvSpPr>
      <xdr:spPr>
        <a:xfrm>
          <a:off x="12580620" y="3486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53" name="TextBox 6452">
          <a:extLst>
            <a:ext uri="{FF2B5EF4-FFF2-40B4-BE49-F238E27FC236}">
              <a16:creationId xmlns:a16="http://schemas.microsoft.com/office/drawing/2014/main" id="{D790F7C5-4FB4-4169-AECB-29A162C3B4E0}"/>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54" name="TextBox 6453">
          <a:extLst>
            <a:ext uri="{FF2B5EF4-FFF2-40B4-BE49-F238E27FC236}">
              <a16:creationId xmlns:a16="http://schemas.microsoft.com/office/drawing/2014/main" id="{4B3266CB-1924-4B0B-A63A-F668BBA86148}"/>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55" name="TextBox 6454">
          <a:extLst>
            <a:ext uri="{FF2B5EF4-FFF2-40B4-BE49-F238E27FC236}">
              <a16:creationId xmlns:a16="http://schemas.microsoft.com/office/drawing/2014/main" id="{CBC7410D-7C3A-41C0-B6C7-F75F0212AE33}"/>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56" name="TextBox 6455">
          <a:extLst>
            <a:ext uri="{FF2B5EF4-FFF2-40B4-BE49-F238E27FC236}">
              <a16:creationId xmlns:a16="http://schemas.microsoft.com/office/drawing/2014/main" id="{50BBF757-870F-4C5F-8A6D-BB01D20FB785}"/>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57" name="TextBox 6456">
          <a:extLst>
            <a:ext uri="{FF2B5EF4-FFF2-40B4-BE49-F238E27FC236}">
              <a16:creationId xmlns:a16="http://schemas.microsoft.com/office/drawing/2014/main" id="{924A6A0B-67A0-4D39-98DD-B4890EA7059F}"/>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58" name="TextBox 6457">
          <a:extLst>
            <a:ext uri="{FF2B5EF4-FFF2-40B4-BE49-F238E27FC236}">
              <a16:creationId xmlns:a16="http://schemas.microsoft.com/office/drawing/2014/main" id="{418D698A-7CAD-4873-9383-980E4B117409}"/>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59" name="TextBox 6458">
          <a:extLst>
            <a:ext uri="{FF2B5EF4-FFF2-40B4-BE49-F238E27FC236}">
              <a16:creationId xmlns:a16="http://schemas.microsoft.com/office/drawing/2014/main" id="{D4576B78-2AC7-4FA0-B5A6-410991F126C0}"/>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60" name="TextBox 6459">
          <a:extLst>
            <a:ext uri="{FF2B5EF4-FFF2-40B4-BE49-F238E27FC236}">
              <a16:creationId xmlns:a16="http://schemas.microsoft.com/office/drawing/2014/main" id="{3F70C200-9F35-47B9-A6A0-8BD020BFA9F5}"/>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61" name="TextBox 6460">
          <a:extLst>
            <a:ext uri="{FF2B5EF4-FFF2-40B4-BE49-F238E27FC236}">
              <a16:creationId xmlns:a16="http://schemas.microsoft.com/office/drawing/2014/main" id="{B21B1052-165D-406E-ACA9-FA2B1238ADAA}"/>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62" name="TextBox 6461">
          <a:extLst>
            <a:ext uri="{FF2B5EF4-FFF2-40B4-BE49-F238E27FC236}">
              <a16:creationId xmlns:a16="http://schemas.microsoft.com/office/drawing/2014/main" id="{65417AB6-2889-49DD-9AEF-7149F5D9B7B2}"/>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63" name="TextBox 6462">
          <a:extLst>
            <a:ext uri="{FF2B5EF4-FFF2-40B4-BE49-F238E27FC236}">
              <a16:creationId xmlns:a16="http://schemas.microsoft.com/office/drawing/2014/main" id="{7BF692BA-8340-4141-BC82-F9CF78D79873}"/>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64" name="TextBox 6463">
          <a:extLst>
            <a:ext uri="{FF2B5EF4-FFF2-40B4-BE49-F238E27FC236}">
              <a16:creationId xmlns:a16="http://schemas.microsoft.com/office/drawing/2014/main" id="{79127C80-C540-411B-B139-200EBBA5DA66}"/>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65" name="TextBox 6464">
          <a:extLst>
            <a:ext uri="{FF2B5EF4-FFF2-40B4-BE49-F238E27FC236}">
              <a16:creationId xmlns:a16="http://schemas.microsoft.com/office/drawing/2014/main" id="{B67D3F3D-F87A-4ACF-91FC-9A53D5A2D4D3}"/>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6466" name="TextBox 6465">
          <a:extLst>
            <a:ext uri="{FF2B5EF4-FFF2-40B4-BE49-F238E27FC236}">
              <a16:creationId xmlns:a16="http://schemas.microsoft.com/office/drawing/2014/main" id="{58EC8DC8-71FC-42BE-93DA-79FE716E2108}"/>
            </a:ext>
          </a:extLst>
        </xdr:cNvPr>
        <xdr:cNvSpPr txBox="1"/>
      </xdr:nvSpPr>
      <xdr:spPr>
        <a:xfrm>
          <a:off x="12580620" y="3387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67" name="TextBox 6466">
          <a:extLst>
            <a:ext uri="{FF2B5EF4-FFF2-40B4-BE49-F238E27FC236}">
              <a16:creationId xmlns:a16="http://schemas.microsoft.com/office/drawing/2014/main" id="{7B7B12E6-3D6A-411C-8750-B2D904ED71B9}"/>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68" name="TextBox 6467">
          <a:extLst>
            <a:ext uri="{FF2B5EF4-FFF2-40B4-BE49-F238E27FC236}">
              <a16:creationId xmlns:a16="http://schemas.microsoft.com/office/drawing/2014/main" id="{F482887C-F492-4307-823C-4E10D7821CC6}"/>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69" name="TextBox 6468">
          <a:extLst>
            <a:ext uri="{FF2B5EF4-FFF2-40B4-BE49-F238E27FC236}">
              <a16:creationId xmlns:a16="http://schemas.microsoft.com/office/drawing/2014/main" id="{0949CA64-0CC0-4B53-A59D-24AD43506153}"/>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70" name="TextBox 6469">
          <a:extLst>
            <a:ext uri="{FF2B5EF4-FFF2-40B4-BE49-F238E27FC236}">
              <a16:creationId xmlns:a16="http://schemas.microsoft.com/office/drawing/2014/main" id="{AF47DE7E-DEEE-4D8F-BEA0-B678FC4108A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71" name="TextBox 6470">
          <a:extLst>
            <a:ext uri="{FF2B5EF4-FFF2-40B4-BE49-F238E27FC236}">
              <a16:creationId xmlns:a16="http://schemas.microsoft.com/office/drawing/2014/main" id="{50B7B56B-3E53-478E-BD2A-1CB44BB0EE3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72" name="TextBox 6471">
          <a:extLst>
            <a:ext uri="{FF2B5EF4-FFF2-40B4-BE49-F238E27FC236}">
              <a16:creationId xmlns:a16="http://schemas.microsoft.com/office/drawing/2014/main" id="{9A76D97E-F211-4995-A860-8787CD5178FF}"/>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73" name="TextBox 6472">
          <a:extLst>
            <a:ext uri="{FF2B5EF4-FFF2-40B4-BE49-F238E27FC236}">
              <a16:creationId xmlns:a16="http://schemas.microsoft.com/office/drawing/2014/main" id="{9FC70A70-D526-4203-8E11-372D840B6103}"/>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74" name="TextBox 6473">
          <a:extLst>
            <a:ext uri="{FF2B5EF4-FFF2-40B4-BE49-F238E27FC236}">
              <a16:creationId xmlns:a16="http://schemas.microsoft.com/office/drawing/2014/main" id="{4F6B1A49-C9DC-473C-8ECD-E788E907B701}"/>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75" name="TextBox 6474">
          <a:extLst>
            <a:ext uri="{FF2B5EF4-FFF2-40B4-BE49-F238E27FC236}">
              <a16:creationId xmlns:a16="http://schemas.microsoft.com/office/drawing/2014/main" id="{7249EAE9-2088-4834-9241-A764E60A6F18}"/>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76" name="TextBox 6475">
          <a:extLst>
            <a:ext uri="{FF2B5EF4-FFF2-40B4-BE49-F238E27FC236}">
              <a16:creationId xmlns:a16="http://schemas.microsoft.com/office/drawing/2014/main" id="{CEEDDCB2-23A2-47B2-AA3F-37312ED4C714}"/>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77" name="TextBox 6476">
          <a:extLst>
            <a:ext uri="{FF2B5EF4-FFF2-40B4-BE49-F238E27FC236}">
              <a16:creationId xmlns:a16="http://schemas.microsoft.com/office/drawing/2014/main" id="{C53CCEBA-D398-4C3C-8E47-107C27B759C1}"/>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78" name="TextBox 6477">
          <a:extLst>
            <a:ext uri="{FF2B5EF4-FFF2-40B4-BE49-F238E27FC236}">
              <a16:creationId xmlns:a16="http://schemas.microsoft.com/office/drawing/2014/main" id="{C8C855ED-970E-43B8-A5B1-6F6ADBB998A9}"/>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79" name="TextBox 6478">
          <a:extLst>
            <a:ext uri="{FF2B5EF4-FFF2-40B4-BE49-F238E27FC236}">
              <a16:creationId xmlns:a16="http://schemas.microsoft.com/office/drawing/2014/main" id="{E705C099-0DDB-4CBB-91AA-6BD578E38D4C}"/>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480" name="TextBox 6479">
          <a:extLst>
            <a:ext uri="{FF2B5EF4-FFF2-40B4-BE49-F238E27FC236}">
              <a16:creationId xmlns:a16="http://schemas.microsoft.com/office/drawing/2014/main" id="{ADA9DEB9-F0D8-4AB1-B42C-8371D735EDB0}"/>
            </a:ext>
          </a:extLst>
        </xdr:cNvPr>
        <xdr:cNvSpPr txBox="1"/>
      </xdr:nvSpPr>
      <xdr:spPr>
        <a:xfrm>
          <a:off x="12580620" y="3406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81" name="TextBox 6480">
          <a:extLst>
            <a:ext uri="{FF2B5EF4-FFF2-40B4-BE49-F238E27FC236}">
              <a16:creationId xmlns:a16="http://schemas.microsoft.com/office/drawing/2014/main" id="{709CBE26-A551-4C7C-A384-D56B48045E68}"/>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82" name="TextBox 6481">
          <a:extLst>
            <a:ext uri="{FF2B5EF4-FFF2-40B4-BE49-F238E27FC236}">
              <a16:creationId xmlns:a16="http://schemas.microsoft.com/office/drawing/2014/main" id="{FCF004D5-83CC-4601-BE3C-2D350D291279}"/>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83" name="TextBox 6482">
          <a:extLst>
            <a:ext uri="{FF2B5EF4-FFF2-40B4-BE49-F238E27FC236}">
              <a16:creationId xmlns:a16="http://schemas.microsoft.com/office/drawing/2014/main" id="{27CE9EF6-2DFA-4778-9205-D83560524403}"/>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84" name="TextBox 6483">
          <a:extLst>
            <a:ext uri="{FF2B5EF4-FFF2-40B4-BE49-F238E27FC236}">
              <a16:creationId xmlns:a16="http://schemas.microsoft.com/office/drawing/2014/main" id="{AEF2C205-301C-4560-BC83-375E974BCEAF}"/>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85" name="TextBox 6484">
          <a:extLst>
            <a:ext uri="{FF2B5EF4-FFF2-40B4-BE49-F238E27FC236}">
              <a16:creationId xmlns:a16="http://schemas.microsoft.com/office/drawing/2014/main" id="{3DCCF9ED-9B1F-4DC7-B839-6E3EB677417B}"/>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86" name="TextBox 6485">
          <a:extLst>
            <a:ext uri="{FF2B5EF4-FFF2-40B4-BE49-F238E27FC236}">
              <a16:creationId xmlns:a16="http://schemas.microsoft.com/office/drawing/2014/main" id="{3D9466B2-EB98-463C-88EA-A326C523B5D8}"/>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87" name="TextBox 6486">
          <a:extLst>
            <a:ext uri="{FF2B5EF4-FFF2-40B4-BE49-F238E27FC236}">
              <a16:creationId xmlns:a16="http://schemas.microsoft.com/office/drawing/2014/main" id="{0F2E4FBC-6F9D-49D8-B320-D21C3287204C}"/>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88" name="TextBox 6487">
          <a:extLst>
            <a:ext uri="{FF2B5EF4-FFF2-40B4-BE49-F238E27FC236}">
              <a16:creationId xmlns:a16="http://schemas.microsoft.com/office/drawing/2014/main" id="{9EE8A67A-FC51-41CC-B6A6-507074A0155B}"/>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89" name="TextBox 6488">
          <a:extLst>
            <a:ext uri="{FF2B5EF4-FFF2-40B4-BE49-F238E27FC236}">
              <a16:creationId xmlns:a16="http://schemas.microsoft.com/office/drawing/2014/main" id="{E3EE1ED8-1246-4E13-86A2-D686D3F3CFAC}"/>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90" name="TextBox 6489">
          <a:extLst>
            <a:ext uri="{FF2B5EF4-FFF2-40B4-BE49-F238E27FC236}">
              <a16:creationId xmlns:a16="http://schemas.microsoft.com/office/drawing/2014/main" id="{112F0F0B-ABFD-4DDD-BCB9-10FEAFDB5AD9}"/>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91" name="TextBox 6490">
          <a:extLst>
            <a:ext uri="{FF2B5EF4-FFF2-40B4-BE49-F238E27FC236}">
              <a16:creationId xmlns:a16="http://schemas.microsoft.com/office/drawing/2014/main" id="{12EDF718-BDAC-48A4-BBFB-24DCD5C1D4FC}"/>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92" name="TextBox 6491">
          <a:extLst>
            <a:ext uri="{FF2B5EF4-FFF2-40B4-BE49-F238E27FC236}">
              <a16:creationId xmlns:a16="http://schemas.microsoft.com/office/drawing/2014/main" id="{B3B85458-8D8F-4F12-B7C0-DC92B39A1F35}"/>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93" name="TextBox 6492">
          <a:extLst>
            <a:ext uri="{FF2B5EF4-FFF2-40B4-BE49-F238E27FC236}">
              <a16:creationId xmlns:a16="http://schemas.microsoft.com/office/drawing/2014/main" id="{BF066412-0AC2-4C2B-9E92-DFE86D6A185E}"/>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6494" name="TextBox 6493">
          <a:extLst>
            <a:ext uri="{FF2B5EF4-FFF2-40B4-BE49-F238E27FC236}">
              <a16:creationId xmlns:a16="http://schemas.microsoft.com/office/drawing/2014/main" id="{F84E80ED-F217-41BA-9FA6-C1DBC25F3A17}"/>
            </a:ext>
          </a:extLst>
        </xdr:cNvPr>
        <xdr:cNvSpPr txBox="1"/>
      </xdr:nvSpPr>
      <xdr:spPr>
        <a:xfrm>
          <a:off x="12580620" y="34267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twoCellAnchor>
    <xdr:from>
      <xdr:col>1</xdr:col>
      <xdr:colOff>1</xdr:colOff>
      <xdr:row>69</xdr:row>
      <xdr:rowOff>95250</xdr:rowOff>
    </xdr:from>
    <xdr:to>
      <xdr:col>11</xdr:col>
      <xdr:colOff>666750</xdr:colOff>
      <xdr:row>87</xdr:row>
      <xdr:rowOff>66675</xdr:rowOff>
    </xdr:to>
    <xdr:graphicFrame macro="">
      <xdr:nvGraphicFramePr>
        <xdr:cNvPr id="6495" name="Chart 649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781050</xdr:colOff>
      <xdr:row>69</xdr:row>
      <xdr:rowOff>95250</xdr:rowOff>
    </xdr:from>
    <xdr:to>
      <xdr:col>17</xdr:col>
      <xdr:colOff>561975</xdr:colOff>
      <xdr:row>83</xdr:row>
      <xdr:rowOff>171450</xdr:rowOff>
    </xdr:to>
    <xdr:graphicFrame macro="">
      <xdr:nvGraphicFramePr>
        <xdr:cNvPr id="6496" name="Chart 649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4</xdr:col>
      <xdr:colOff>609600</xdr:colOff>
      <xdr:row>164</xdr:row>
      <xdr:rowOff>0</xdr:rowOff>
    </xdr:from>
    <xdr:ext cx="65" cy="172227"/>
    <xdr:sp macro="" textlink="">
      <xdr:nvSpPr>
        <xdr:cNvPr id="6497" name="TextBox 6496">
          <a:extLst>
            <a:ext uri="{FF2B5EF4-FFF2-40B4-BE49-F238E27FC236}">
              <a16:creationId xmlns:a16="http://schemas.microsoft.com/office/drawing/2014/main" id="{00000000-0008-0000-0000-000007000000}"/>
            </a:ext>
          </a:extLst>
        </xdr:cNvPr>
        <xdr:cNvSpPr txBox="1"/>
      </xdr:nvSpPr>
      <xdr:spPr>
        <a:xfrm>
          <a:off x="8267700" y="35394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twoCellAnchor>
    <xdr:from>
      <xdr:col>2</xdr:col>
      <xdr:colOff>13606</xdr:colOff>
      <xdr:row>41</xdr:row>
      <xdr:rowOff>29936</xdr:rowOff>
    </xdr:from>
    <xdr:to>
      <xdr:col>11</xdr:col>
      <xdr:colOff>2694214</xdr:colOff>
      <xdr:row>55</xdr:row>
      <xdr:rowOff>106136</xdr:rowOff>
    </xdr:to>
    <xdr:graphicFrame macro="">
      <xdr:nvGraphicFramePr>
        <xdr:cNvPr id="6498" name="Chart 649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4</xdr:col>
      <xdr:colOff>609600</xdr:colOff>
      <xdr:row>164</xdr:row>
      <xdr:rowOff>0</xdr:rowOff>
    </xdr:from>
    <xdr:ext cx="65" cy="172227"/>
    <xdr:sp macro="" textlink="">
      <xdr:nvSpPr>
        <xdr:cNvPr id="6501" name="TextBox 6500">
          <a:extLst>
            <a:ext uri="{FF2B5EF4-FFF2-40B4-BE49-F238E27FC236}">
              <a16:creationId xmlns:a16="http://schemas.microsoft.com/office/drawing/2014/main" id="{00000000-0008-0000-0000-00000B000000}"/>
            </a:ext>
          </a:extLst>
        </xdr:cNvPr>
        <xdr:cNvSpPr txBox="1"/>
      </xdr:nvSpPr>
      <xdr:spPr>
        <a:xfrm>
          <a:off x="8267700" y="35394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6502" name="TextBox 6501">
          <a:extLst>
            <a:ext uri="{FF2B5EF4-FFF2-40B4-BE49-F238E27FC236}">
              <a16:creationId xmlns:a16="http://schemas.microsoft.com/office/drawing/2014/main" id="{00000000-0008-0000-0000-00000C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6503" name="TextBox 6502">
          <a:extLst>
            <a:ext uri="{FF2B5EF4-FFF2-40B4-BE49-F238E27FC236}">
              <a16:creationId xmlns:a16="http://schemas.microsoft.com/office/drawing/2014/main" id="{00000000-0008-0000-0000-00000D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504" name="TextBox 6503">
          <a:extLst>
            <a:ext uri="{FF2B5EF4-FFF2-40B4-BE49-F238E27FC236}">
              <a16:creationId xmlns:a16="http://schemas.microsoft.com/office/drawing/2014/main" id="{00000000-0008-0000-0000-00000E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505" name="TextBox 6504">
          <a:extLst>
            <a:ext uri="{FF2B5EF4-FFF2-40B4-BE49-F238E27FC236}">
              <a16:creationId xmlns:a16="http://schemas.microsoft.com/office/drawing/2014/main" id="{00000000-0008-0000-0000-00000F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506" name="TextBox 6505">
          <a:extLst>
            <a:ext uri="{FF2B5EF4-FFF2-40B4-BE49-F238E27FC236}">
              <a16:creationId xmlns:a16="http://schemas.microsoft.com/office/drawing/2014/main" id="{00000000-0008-0000-0000-000010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507" name="TextBox 6506">
          <a:extLst>
            <a:ext uri="{FF2B5EF4-FFF2-40B4-BE49-F238E27FC236}">
              <a16:creationId xmlns:a16="http://schemas.microsoft.com/office/drawing/2014/main" id="{00000000-0008-0000-0000-000011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508" name="TextBox 6507">
          <a:extLst>
            <a:ext uri="{FF2B5EF4-FFF2-40B4-BE49-F238E27FC236}">
              <a16:creationId xmlns:a16="http://schemas.microsoft.com/office/drawing/2014/main" id="{00000000-0008-0000-0000-000012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509" name="TextBox 6508">
          <a:extLst>
            <a:ext uri="{FF2B5EF4-FFF2-40B4-BE49-F238E27FC236}">
              <a16:creationId xmlns:a16="http://schemas.microsoft.com/office/drawing/2014/main" id="{00000000-0008-0000-0000-000013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510" name="TextBox 6509">
          <a:extLst>
            <a:ext uri="{FF2B5EF4-FFF2-40B4-BE49-F238E27FC236}">
              <a16:creationId xmlns:a16="http://schemas.microsoft.com/office/drawing/2014/main" id="{00000000-0008-0000-0000-000014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511" name="TextBox 6510">
          <a:extLst>
            <a:ext uri="{FF2B5EF4-FFF2-40B4-BE49-F238E27FC236}">
              <a16:creationId xmlns:a16="http://schemas.microsoft.com/office/drawing/2014/main" id="{00000000-0008-0000-0000-000015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512" name="TextBox 6511">
          <a:extLst>
            <a:ext uri="{FF2B5EF4-FFF2-40B4-BE49-F238E27FC236}">
              <a16:creationId xmlns:a16="http://schemas.microsoft.com/office/drawing/2014/main" id="{00000000-0008-0000-0000-00001600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513" name="TextBox 6512">
          <a:extLst>
            <a:ext uri="{FF2B5EF4-FFF2-40B4-BE49-F238E27FC236}">
              <a16:creationId xmlns:a16="http://schemas.microsoft.com/office/drawing/2014/main" id="{00000000-0008-0000-0000-00001700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514" name="TextBox 6513">
          <a:extLst>
            <a:ext uri="{FF2B5EF4-FFF2-40B4-BE49-F238E27FC236}">
              <a16:creationId xmlns:a16="http://schemas.microsoft.com/office/drawing/2014/main" id="{00000000-0008-0000-0000-00001800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515" name="TextBox 6514">
          <a:extLst>
            <a:ext uri="{FF2B5EF4-FFF2-40B4-BE49-F238E27FC236}">
              <a16:creationId xmlns:a16="http://schemas.microsoft.com/office/drawing/2014/main" id="{00000000-0008-0000-0000-00001900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172</xdr:row>
      <xdr:rowOff>0</xdr:rowOff>
    </xdr:from>
    <xdr:ext cx="65" cy="172227"/>
    <xdr:sp macro="" textlink="">
      <xdr:nvSpPr>
        <xdr:cNvPr id="6516" name="TextBox 6515">
          <a:extLst>
            <a:ext uri="{FF2B5EF4-FFF2-40B4-BE49-F238E27FC236}">
              <a16:creationId xmlns:a16="http://schemas.microsoft.com/office/drawing/2014/main" id="{00000000-0008-0000-0000-00001A000000}"/>
            </a:ext>
          </a:extLst>
        </xdr:cNvPr>
        <xdr:cNvSpPr txBox="1"/>
      </xdr:nvSpPr>
      <xdr:spPr>
        <a:xfrm>
          <a:off x="8267700" y="36964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172</xdr:row>
      <xdr:rowOff>0</xdr:rowOff>
    </xdr:from>
    <xdr:ext cx="65" cy="172227"/>
    <xdr:sp macro="" textlink="">
      <xdr:nvSpPr>
        <xdr:cNvPr id="6517" name="TextBox 6516">
          <a:extLst>
            <a:ext uri="{FF2B5EF4-FFF2-40B4-BE49-F238E27FC236}">
              <a16:creationId xmlns:a16="http://schemas.microsoft.com/office/drawing/2014/main" id="{00000000-0008-0000-0000-00001B000000}"/>
            </a:ext>
          </a:extLst>
        </xdr:cNvPr>
        <xdr:cNvSpPr txBox="1"/>
      </xdr:nvSpPr>
      <xdr:spPr>
        <a:xfrm>
          <a:off x="8267700" y="36964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173</xdr:row>
      <xdr:rowOff>0</xdr:rowOff>
    </xdr:from>
    <xdr:ext cx="65" cy="172227"/>
    <xdr:sp macro="" textlink="">
      <xdr:nvSpPr>
        <xdr:cNvPr id="6518" name="TextBox 6517">
          <a:extLst>
            <a:ext uri="{FF2B5EF4-FFF2-40B4-BE49-F238E27FC236}">
              <a16:creationId xmlns:a16="http://schemas.microsoft.com/office/drawing/2014/main" id="{00000000-0008-0000-0000-00001C000000}"/>
            </a:ext>
          </a:extLst>
        </xdr:cNvPr>
        <xdr:cNvSpPr txBox="1"/>
      </xdr:nvSpPr>
      <xdr:spPr>
        <a:xfrm>
          <a:off x="8267700" y="37147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173</xdr:row>
      <xdr:rowOff>0</xdr:rowOff>
    </xdr:from>
    <xdr:ext cx="65" cy="172227"/>
    <xdr:sp macro="" textlink="">
      <xdr:nvSpPr>
        <xdr:cNvPr id="6519" name="TextBox 6518">
          <a:extLst>
            <a:ext uri="{FF2B5EF4-FFF2-40B4-BE49-F238E27FC236}">
              <a16:creationId xmlns:a16="http://schemas.microsoft.com/office/drawing/2014/main" id="{00000000-0008-0000-0000-00001D000000}"/>
            </a:ext>
          </a:extLst>
        </xdr:cNvPr>
        <xdr:cNvSpPr txBox="1"/>
      </xdr:nvSpPr>
      <xdr:spPr>
        <a:xfrm>
          <a:off x="8267700" y="37147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179</xdr:row>
      <xdr:rowOff>0</xdr:rowOff>
    </xdr:from>
    <xdr:ext cx="65" cy="172227"/>
    <xdr:sp macro="" textlink="">
      <xdr:nvSpPr>
        <xdr:cNvPr id="6520" name="TextBox 6519">
          <a:extLst>
            <a:ext uri="{FF2B5EF4-FFF2-40B4-BE49-F238E27FC236}">
              <a16:creationId xmlns:a16="http://schemas.microsoft.com/office/drawing/2014/main" id="{00000000-0008-0000-0000-00001E000000}"/>
            </a:ext>
          </a:extLst>
        </xdr:cNvPr>
        <xdr:cNvSpPr txBox="1"/>
      </xdr:nvSpPr>
      <xdr:spPr>
        <a:xfrm>
          <a:off x="8267700" y="3824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179</xdr:row>
      <xdr:rowOff>0</xdr:rowOff>
    </xdr:from>
    <xdr:ext cx="65" cy="172227"/>
    <xdr:sp macro="" textlink="">
      <xdr:nvSpPr>
        <xdr:cNvPr id="6521" name="TextBox 6520">
          <a:extLst>
            <a:ext uri="{FF2B5EF4-FFF2-40B4-BE49-F238E27FC236}">
              <a16:creationId xmlns:a16="http://schemas.microsoft.com/office/drawing/2014/main" id="{00000000-0008-0000-0000-00001F000000}"/>
            </a:ext>
          </a:extLst>
        </xdr:cNvPr>
        <xdr:cNvSpPr txBox="1"/>
      </xdr:nvSpPr>
      <xdr:spPr>
        <a:xfrm>
          <a:off x="8267700" y="38244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180</xdr:row>
      <xdr:rowOff>0</xdr:rowOff>
    </xdr:from>
    <xdr:ext cx="65" cy="172227"/>
    <xdr:sp macro="" textlink="">
      <xdr:nvSpPr>
        <xdr:cNvPr id="6522" name="TextBox 6521">
          <a:extLst>
            <a:ext uri="{FF2B5EF4-FFF2-40B4-BE49-F238E27FC236}">
              <a16:creationId xmlns:a16="http://schemas.microsoft.com/office/drawing/2014/main" id="{00000000-0008-0000-0000-000020000000}"/>
            </a:ext>
          </a:extLst>
        </xdr:cNvPr>
        <xdr:cNvSpPr txBox="1"/>
      </xdr:nvSpPr>
      <xdr:spPr>
        <a:xfrm>
          <a:off x="8267700" y="3842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180</xdr:row>
      <xdr:rowOff>0</xdr:rowOff>
    </xdr:from>
    <xdr:ext cx="65" cy="172227"/>
    <xdr:sp macro="" textlink="">
      <xdr:nvSpPr>
        <xdr:cNvPr id="6523" name="TextBox 6522">
          <a:extLst>
            <a:ext uri="{FF2B5EF4-FFF2-40B4-BE49-F238E27FC236}">
              <a16:creationId xmlns:a16="http://schemas.microsoft.com/office/drawing/2014/main" id="{00000000-0008-0000-0000-000021000000}"/>
            </a:ext>
          </a:extLst>
        </xdr:cNvPr>
        <xdr:cNvSpPr txBox="1"/>
      </xdr:nvSpPr>
      <xdr:spPr>
        <a:xfrm>
          <a:off x="8267700" y="38427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181</xdr:row>
      <xdr:rowOff>0</xdr:rowOff>
    </xdr:from>
    <xdr:ext cx="65" cy="172227"/>
    <xdr:sp macro="" textlink="">
      <xdr:nvSpPr>
        <xdr:cNvPr id="6524" name="TextBox 6523">
          <a:extLst>
            <a:ext uri="{FF2B5EF4-FFF2-40B4-BE49-F238E27FC236}">
              <a16:creationId xmlns:a16="http://schemas.microsoft.com/office/drawing/2014/main" id="{00000000-0008-0000-0000-000022000000}"/>
            </a:ext>
          </a:extLst>
        </xdr:cNvPr>
        <xdr:cNvSpPr txBox="1"/>
      </xdr:nvSpPr>
      <xdr:spPr>
        <a:xfrm>
          <a:off x="8267700" y="3861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181</xdr:row>
      <xdr:rowOff>0</xdr:rowOff>
    </xdr:from>
    <xdr:ext cx="65" cy="172227"/>
    <xdr:sp macro="" textlink="">
      <xdr:nvSpPr>
        <xdr:cNvPr id="6525" name="TextBox 6524">
          <a:extLst>
            <a:ext uri="{FF2B5EF4-FFF2-40B4-BE49-F238E27FC236}">
              <a16:creationId xmlns:a16="http://schemas.microsoft.com/office/drawing/2014/main" id="{00000000-0008-0000-0000-000023000000}"/>
            </a:ext>
          </a:extLst>
        </xdr:cNvPr>
        <xdr:cNvSpPr txBox="1"/>
      </xdr:nvSpPr>
      <xdr:spPr>
        <a:xfrm>
          <a:off x="8267700" y="38610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182</xdr:row>
      <xdr:rowOff>0</xdr:rowOff>
    </xdr:from>
    <xdr:ext cx="65" cy="172227"/>
    <xdr:sp macro="" textlink="">
      <xdr:nvSpPr>
        <xdr:cNvPr id="6526" name="TextBox 6525">
          <a:extLst>
            <a:ext uri="{FF2B5EF4-FFF2-40B4-BE49-F238E27FC236}">
              <a16:creationId xmlns:a16="http://schemas.microsoft.com/office/drawing/2014/main" id="{00000000-0008-0000-0000-000024000000}"/>
            </a:ext>
          </a:extLst>
        </xdr:cNvPr>
        <xdr:cNvSpPr txBox="1"/>
      </xdr:nvSpPr>
      <xdr:spPr>
        <a:xfrm>
          <a:off x="826770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182</xdr:row>
      <xdr:rowOff>0</xdr:rowOff>
    </xdr:from>
    <xdr:ext cx="65" cy="172227"/>
    <xdr:sp macro="" textlink="">
      <xdr:nvSpPr>
        <xdr:cNvPr id="6527" name="TextBox 6526">
          <a:extLst>
            <a:ext uri="{FF2B5EF4-FFF2-40B4-BE49-F238E27FC236}">
              <a16:creationId xmlns:a16="http://schemas.microsoft.com/office/drawing/2014/main" id="{00000000-0008-0000-0000-000025000000}"/>
            </a:ext>
          </a:extLst>
        </xdr:cNvPr>
        <xdr:cNvSpPr txBox="1"/>
      </xdr:nvSpPr>
      <xdr:spPr>
        <a:xfrm>
          <a:off x="8267700" y="38793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183</xdr:row>
      <xdr:rowOff>0</xdr:rowOff>
    </xdr:from>
    <xdr:ext cx="65" cy="172227"/>
    <xdr:sp macro="" textlink="">
      <xdr:nvSpPr>
        <xdr:cNvPr id="6528" name="TextBox 6527">
          <a:extLst>
            <a:ext uri="{FF2B5EF4-FFF2-40B4-BE49-F238E27FC236}">
              <a16:creationId xmlns:a16="http://schemas.microsoft.com/office/drawing/2014/main" id="{00000000-0008-0000-0000-000026000000}"/>
            </a:ext>
          </a:extLst>
        </xdr:cNvPr>
        <xdr:cNvSpPr txBox="1"/>
      </xdr:nvSpPr>
      <xdr:spPr>
        <a:xfrm>
          <a:off x="8267700" y="3897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183</xdr:row>
      <xdr:rowOff>0</xdr:rowOff>
    </xdr:from>
    <xdr:ext cx="65" cy="172227"/>
    <xdr:sp macro="" textlink="">
      <xdr:nvSpPr>
        <xdr:cNvPr id="6529" name="TextBox 6528">
          <a:extLst>
            <a:ext uri="{FF2B5EF4-FFF2-40B4-BE49-F238E27FC236}">
              <a16:creationId xmlns:a16="http://schemas.microsoft.com/office/drawing/2014/main" id="{00000000-0008-0000-0000-000027000000}"/>
            </a:ext>
          </a:extLst>
        </xdr:cNvPr>
        <xdr:cNvSpPr txBox="1"/>
      </xdr:nvSpPr>
      <xdr:spPr>
        <a:xfrm>
          <a:off x="8267700" y="3897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189</xdr:row>
      <xdr:rowOff>0</xdr:rowOff>
    </xdr:from>
    <xdr:ext cx="65" cy="172227"/>
    <xdr:sp macro="" textlink="">
      <xdr:nvSpPr>
        <xdr:cNvPr id="6530" name="TextBox 6529">
          <a:extLst>
            <a:ext uri="{FF2B5EF4-FFF2-40B4-BE49-F238E27FC236}">
              <a16:creationId xmlns:a16="http://schemas.microsoft.com/office/drawing/2014/main" id="{00000000-0008-0000-0000-000028000000}"/>
            </a:ext>
          </a:extLst>
        </xdr:cNvPr>
        <xdr:cNvSpPr txBox="1"/>
      </xdr:nvSpPr>
      <xdr:spPr>
        <a:xfrm>
          <a:off x="8267700" y="4007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189</xdr:row>
      <xdr:rowOff>0</xdr:rowOff>
    </xdr:from>
    <xdr:ext cx="65" cy="172227"/>
    <xdr:sp macro="" textlink="">
      <xdr:nvSpPr>
        <xdr:cNvPr id="6531" name="TextBox 6530">
          <a:extLst>
            <a:ext uri="{FF2B5EF4-FFF2-40B4-BE49-F238E27FC236}">
              <a16:creationId xmlns:a16="http://schemas.microsoft.com/office/drawing/2014/main" id="{00000000-0008-0000-0000-000029000000}"/>
            </a:ext>
          </a:extLst>
        </xdr:cNvPr>
        <xdr:cNvSpPr txBox="1"/>
      </xdr:nvSpPr>
      <xdr:spPr>
        <a:xfrm>
          <a:off x="8267700" y="40073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190</xdr:row>
      <xdr:rowOff>0</xdr:rowOff>
    </xdr:from>
    <xdr:ext cx="65" cy="172227"/>
    <xdr:sp macro="" textlink="">
      <xdr:nvSpPr>
        <xdr:cNvPr id="6532" name="TextBox 6531">
          <a:extLst>
            <a:ext uri="{FF2B5EF4-FFF2-40B4-BE49-F238E27FC236}">
              <a16:creationId xmlns:a16="http://schemas.microsoft.com/office/drawing/2014/main" id="{00000000-0008-0000-0000-00002A000000}"/>
            </a:ext>
          </a:extLst>
        </xdr:cNvPr>
        <xdr:cNvSpPr txBox="1"/>
      </xdr:nvSpPr>
      <xdr:spPr>
        <a:xfrm>
          <a:off x="8267700" y="4025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190</xdr:row>
      <xdr:rowOff>0</xdr:rowOff>
    </xdr:from>
    <xdr:ext cx="65" cy="172227"/>
    <xdr:sp macro="" textlink="">
      <xdr:nvSpPr>
        <xdr:cNvPr id="6533" name="TextBox 6532">
          <a:extLst>
            <a:ext uri="{FF2B5EF4-FFF2-40B4-BE49-F238E27FC236}">
              <a16:creationId xmlns:a16="http://schemas.microsoft.com/office/drawing/2014/main" id="{00000000-0008-0000-0000-00002B000000}"/>
            </a:ext>
          </a:extLst>
        </xdr:cNvPr>
        <xdr:cNvSpPr txBox="1"/>
      </xdr:nvSpPr>
      <xdr:spPr>
        <a:xfrm>
          <a:off x="8267700" y="40256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191</xdr:row>
      <xdr:rowOff>0</xdr:rowOff>
    </xdr:from>
    <xdr:ext cx="65" cy="172227"/>
    <xdr:sp macro="" textlink="">
      <xdr:nvSpPr>
        <xdr:cNvPr id="6534" name="TextBox 6533">
          <a:extLst>
            <a:ext uri="{FF2B5EF4-FFF2-40B4-BE49-F238E27FC236}">
              <a16:creationId xmlns:a16="http://schemas.microsoft.com/office/drawing/2014/main" id="{00000000-0008-0000-0000-00002C000000}"/>
            </a:ext>
          </a:extLst>
        </xdr:cNvPr>
        <xdr:cNvSpPr txBox="1"/>
      </xdr:nvSpPr>
      <xdr:spPr>
        <a:xfrm>
          <a:off x="8267700" y="4043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191</xdr:row>
      <xdr:rowOff>0</xdr:rowOff>
    </xdr:from>
    <xdr:ext cx="65" cy="172227"/>
    <xdr:sp macro="" textlink="">
      <xdr:nvSpPr>
        <xdr:cNvPr id="6535" name="TextBox 6534">
          <a:extLst>
            <a:ext uri="{FF2B5EF4-FFF2-40B4-BE49-F238E27FC236}">
              <a16:creationId xmlns:a16="http://schemas.microsoft.com/office/drawing/2014/main" id="{00000000-0008-0000-0000-00002D000000}"/>
            </a:ext>
          </a:extLst>
        </xdr:cNvPr>
        <xdr:cNvSpPr txBox="1"/>
      </xdr:nvSpPr>
      <xdr:spPr>
        <a:xfrm>
          <a:off x="8267700" y="40439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192</xdr:row>
      <xdr:rowOff>0</xdr:rowOff>
    </xdr:from>
    <xdr:ext cx="65" cy="172227"/>
    <xdr:sp macro="" textlink="">
      <xdr:nvSpPr>
        <xdr:cNvPr id="6536" name="TextBox 6535">
          <a:extLst>
            <a:ext uri="{FF2B5EF4-FFF2-40B4-BE49-F238E27FC236}">
              <a16:creationId xmlns:a16="http://schemas.microsoft.com/office/drawing/2014/main" id="{00000000-0008-0000-0000-00002E000000}"/>
            </a:ext>
          </a:extLst>
        </xdr:cNvPr>
        <xdr:cNvSpPr txBox="1"/>
      </xdr:nvSpPr>
      <xdr:spPr>
        <a:xfrm>
          <a:off x="8267700" y="40622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192</xdr:row>
      <xdr:rowOff>0</xdr:rowOff>
    </xdr:from>
    <xdr:ext cx="65" cy="172227"/>
    <xdr:sp macro="" textlink="">
      <xdr:nvSpPr>
        <xdr:cNvPr id="6537" name="TextBox 6536">
          <a:extLst>
            <a:ext uri="{FF2B5EF4-FFF2-40B4-BE49-F238E27FC236}">
              <a16:creationId xmlns:a16="http://schemas.microsoft.com/office/drawing/2014/main" id="{00000000-0008-0000-0000-00002F000000}"/>
            </a:ext>
          </a:extLst>
        </xdr:cNvPr>
        <xdr:cNvSpPr txBox="1"/>
      </xdr:nvSpPr>
      <xdr:spPr>
        <a:xfrm>
          <a:off x="8267700" y="40622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193</xdr:row>
      <xdr:rowOff>0</xdr:rowOff>
    </xdr:from>
    <xdr:ext cx="65" cy="172227"/>
    <xdr:sp macro="" textlink="">
      <xdr:nvSpPr>
        <xdr:cNvPr id="6538" name="TextBox 6537">
          <a:extLst>
            <a:ext uri="{FF2B5EF4-FFF2-40B4-BE49-F238E27FC236}">
              <a16:creationId xmlns:a16="http://schemas.microsoft.com/office/drawing/2014/main" id="{00000000-0008-0000-0000-000030000000}"/>
            </a:ext>
          </a:extLst>
        </xdr:cNvPr>
        <xdr:cNvSpPr txBox="1"/>
      </xdr:nvSpPr>
      <xdr:spPr>
        <a:xfrm>
          <a:off x="8267700" y="40805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193</xdr:row>
      <xdr:rowOff>0</xdr:rowOff>
    </xdr:from>
    <xdr:ext cx="65" cy="172227"/>
    <xdr:sp macro="" textlink="">
      <xdr:nvSpPr>
        <xdr:cNvPr id="6539" name="TextBox 6538">
          <a:extLst>
            <a:ext uri="{FF2B5EF4-FFF2-40B4-BE49-F238E27FC236}">
              <a16:creationId xmlns:a16="http://schemas.microsoft.com/office/drawing/2014/main" id="{00000000-0008-0000-0000-000031000000}"/>
            </a:ext>
          </a:extLst>
        </xdr:cNvPr>
        <xdr:cNvSpPr txBox="1"/>
      </xdr:nvSpPr>
      <xdr:spPr>
        <a:xfrm>
          <a:off x="8267700" y="40805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6540" name="TextBox 6539">
          <a:extLst>
            <a:ext uri="{FF2B5EF4-FFF2-40B4-BE49-F238E27FC236}">
              <a16:creationId xmlns:a16="http://schemas.microsoft.com/office/drawing/2014/main" id="{00000000-0008-0000-0000-000032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6541" name="TextBox 6540">
          <a:extLst>
            <a:ext uri="{FF2B5EF4-FFF2-40B4-BE49-F238E27FC236}">
              <a16:creationId xmlns:a16="http://schemas.microsoft.com/office/drawing/2014/main" id="{00000000-0008-0000-0000-000033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6542" name="TextBox 6541">
          <a:extLst>
            <a:ext uri="{FF2B5EF4-FFF2-40B4-BE49-F238E27FC236}">
              <a16:creationId xmlns:a16="http://schemas.microsoft.com/office/drawing/2014/main" id="{00000000-0008-0000-0000-000034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6543" name="TextBox 6542">
          <a:extLst>
            <a:ext uri="{FF2B5EF4-FFF2-40B4-BE49-F238E27FC236}">
              <a16:creationId xmlns:a16="http://schemas.microsoft.com/office/drawing/2014/main" id="{00000000-0008-0000-0000-000035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6544" name="TextBox 6543">
          <a:extLst>
            <a:ext uri="{FF2B5EF4-FFF2-40B4-BE49-F238E27FC236}">
              <a16:creationId xmlns:a16="http://schemas.microsoft.com/office/drawing/2014/main" id="{00000000-0008-0000-0000-000036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6545" name="TextBox 6544">
          <a:extLst>
            <a:ext uri="{FF2B5EF4-FFF2-40B4-BE49-F238E27FC236}">
              <a16:creationId xmlns:a16="http://schemas.microsoft.com/office/drawing/2014/main" id="{00000000-0008-0000-0000-000037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6546" name="TextBox 6545">
          <a:extLst>
            <a:ext uri="{FF2B5EF4-FFF2-40B4-BE49-F238E27FC236}">
              <a16:creationId xmlns:a16="http://schemas.microsoft.com/office/drawing/2014/main" id="{00000000-0008-0000-0000-000038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6547" name="TextBox 6546">
          <a:extLst>
            <a:ext uri="{FF2B5EF4-FFF2-40B4-BE49-F238E27FC236}">
              <a16:creationId xmlns:a16="http://schemas.microsoft.com/office/drawing/2014/main" id="{00000000-0008-0000-0000-000039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6548" name="TextBox 6547">
          <a:extLst>
            <a:ext uri="{FF2B5EF4-FFF2-40B4-BE49-F238E27FC236}">
              <a16:creationId xmlns:a16="http://schemas.microsoft.com/office/drawing/2014/main" id="{00000000-0008-0000-0000-00003A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6549" name="TextBox 6548">
          <a:extLst>
            <a:ext uri="{FF2B5EF4-FFF2-40B4-BE49-F238E27FC236}">
              <a16:creationId xmlns:a16="http://schemas.microsoft.com/office/drawing/2014/main" id="{00000000-0008-0000-0000-00003B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6550" name="TextBox 6549">
          <a:extLst>
            <a:ext uri="{FF2B5EF4-FFF2-40B4-BE49-F238E27FC236}">
              <a16:creationId xmlns:a16="http://schemas.microsoft.com/office/drawing/2014/main" id="{00000000-0008-0000-0000-00003C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6551" name="TextBox 6550">
          <a:extLst>
            <a:ext uri="{FF2B5EF4-FFF2-40B4-BE49-F238E27FC236}">
              <a16:creationId xmlns:a16="http://schemas.microsoft.com/office/drawing/2014/main" id="{00000000-0008-0000-0000-00003D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6552" name="TextBox 6551">
          <a:extLst>
            <a:ext uri="{FF2B5EF4-FFF2-40B4-BE49-F238E27FC236}">
              <a16:creationId xmlns:a16="http://schemas.microsoft.com/office/drawing/2014/main" id="{00000000-0008-0000-0000-00003E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6553" name="TextBox 6552">
          <a:extLst>
            <a:ext uri="{FF2B5EF4-FFF2-40B4-BE49-F238E27FC236}">
              <a16:creationId xmlns:a16="http://schemas.microsoft.com/office/drawing/2014/main" id="{00000000-0008-0000-0000-00003F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6554" name="TextBox 6553">
          <a:extLst>
            <a:ext uri="{FF2B5EF4-FFF2-40B4-BE49-F238E27FC236}">
              <a16:creationId xmlns:a16="http://schemas.microsoft.com/office/drawing/2014/main" id="{00000000-0008-0000-0000-000040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6555" name="TextBox 6554">
          <a:extLst>
            <a:ext uri="{FF2B5EF4-FFF2-40B4-BE49-F238E27FC236}">
              <a16:creationId xmlns:a16="http://schemas.microsoft.com/office/drawing/2014/main" id="{00000000-0008-0000-0000-000041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6556" name="TextBox 6555">
          <a:extLst>
            <a:ext uri="{FF2B5EF4-FFF2-40B4-BE49-F238E27FC236}">
              <a16:creationId xmlns:a16="http://schemas.microsoft.com/office/drawing/2014/main" id="{00000000-0008-0000-0000-000042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6557" name="TextBox 6556">
          <a:extLst>
            <a:ext uri="{FF2B5EF4-FFF2-40B4-BE49-F238E27FC236}">
              <a16:creationId xmlns:a16="http://schemas.microsoft.com/office/drawing/2014/main" id="{00000000-0008-0000-0000-000043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6558" name="TextBox 6557">
          <a:extLst>
            <a:ext uri="{FF2B5EF4-FFF2-40B4-BE49-F238E27FC236}">
              <a16:creationId xmlns:a16="http://schemas.microsoft.com/office/drawing/2014/main" id="{00000000-0008-0000-0000-000044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197</xdr:row>
      <xdr:rowOff>0</xdr:rowOff>
    </xdr:from>
    <xdr:ext cx="65" cy="172227"/>
    <xdr:sp macro="" textlink="">
      <xdr:nvSpPr>
        <xdr:cNvPr id="6559" name="TextBox 6558">
          <a:extLst>
            <a:ext uri="{FF2B5EF4-FFF2-40B4-BE49-F238E27FC236}">
              <a16:creationId xmlns:a16="http://schemas.microsoft.com/office/drawing/2014/main" id="{00000000-0008-0000-0000-000045000000}"/>
            </a:ext>
          </a:extLst>
        </xdr:cNvPr>
        <xdr:cNvSpPr txBox="1"/>
      </xdr:nvSpPr>
      <xdr:spPr>
        <a:xfrm>
          <a:off x="8267700" y="41536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560" name="TextBox 6559">
          <a:extLst>
            <a:ext uri="{FF2B5EF4-FFF2-40B4-BE49-F238E27FC236}">
              <a16:creationId xmlns:a16="http://schemas.microsoft.com/office/drawing/2014/main" id="{00000000-0008-0000-0000-000048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561" name="TextBox 6560">
          <a:extLst>
            <a:ext uri="{FF2B5EF4-FFF2-40B4-BE49-F238E27FC236}">
              <a16:creationId xmlns:a16="http://schemas.microsoft.com/office/drawing/2014/main" id="{00000000-0008-0000-0000-000049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562" name="TextBox 6561">
          <a:extLst>
            <a:ext uri="{FF2B5EF4-FFF2-40B4-BE49-F238E27FC236}">
              <a16:creationId xmlns:a16="http://schemas.microsoft.com/office/drawing/2014/main" id="{00000000-0008-0000-0000-00004C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563" name="TextBox 6562">
          <a:extLst>
            <a:ext uri="{FF2B5EF4-FFF2-40B4-BE49-F238E27FC236}">
              <a16:creationId xmlns:a16="http://schemas.microsoft.com/office/drawing/2014/main" id="{00000000-0008-0000-0000-00004D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564" name="TextBox 6563">
          <a:extLst>
            <a:ext uri="{FF2B5EF4-FFF2-40B4-BE49-F238E27FC236}">
              <a16:creationId xmlns:a16="http://schemas.microsoft.com/office/drawing/2014/main" id="{00000000-0008-0000-0000-00004E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565" name="TextBox 6564">
          <a:extLst>
            <a:ext uri="{FF2B5EF4-FFF2-40B4-BE49-F238E27FC236}">
              <a16:creationId xmlns:a16="http://schemas.microsoft.com/office/drawing/2014/main" id="{00000000-0008-0000-0000-00004F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566" name="TextBox 6565">
          <a:extLst>
            <a:ext uri="{FF2B5EF4-FFF2-40B4-BE49-F238E27FC236}">
              <a16:creationId xmlns:a16="http://schemas.microsoft.com/office/drawing/2014/main" id="{00000000-0008-0000-0000-000050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567" name="TextBox 6566">
          <a:extLst>
            <a:ext uri="{FF2B5EF4-FFF2-40B4-BE49-F238E27FC236}">
              <a16:creationId xmlns:a16="http://schemas.microsoft.com/office/drawing/2014/main" id="{00000000-0008-0000-0000-000051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6568" name="TextBox 6567">
          <a:extLst>
            <a:ext uri="{FF2B5EF4-FFF2-40B4-BE49-F238E27FC236}">
              <a16:creationId xmlns:a16="http://schemas.microsoft.com/office/drawing/2014/main" id="{00000000-0008-0000-0000-000052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6569" name="TextBox 6568">
          <a:extLst>
            <a:ext uri="{FF2B5EF4-FFF2-40B4-BE49-F238E27FC236}">
              <a16:creationId xmlns:a16="http://schemas.microsoft.com/office/drawing/2014/main" id="{00000000-0008-0000-0000-000053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570" name="TextBox 6569">
          <a:extLst>
            <a:ext uri="{FF2B5EF4-FFF2-40B4-BE49-F238E27FC236}">
              <a16:creationId xmlns:a16="http://schemas.microsoft.com/office/drawing/2014/main" id="{00000000-0008-0000-0000-000054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571" name="TextBox 6570">
          <a:extLst>
            <a:ext uri="{FF2B5EF4-FFF2-40B4-BE49-F238E27FC236}">
              <a16:creationId xmlns:a16="http://schemas.microsoft.com/office/drawing/2014/main" id="{00000000-0008-0000-0000-000055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572" name="TextBox 6571">
          <a:extLst>
            <a:ext uri="{FF2B5EF4-FFF2-40B4-BE49-F238E27FC236}">
              <a16:creationId xmlns:a16="http://schemas.microsoft.com/office/drawing/2014/main" id="{00000000-0008-0000-0000-000056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573" name="TextBox 6572">
          <a:extLst>
            <a:ext uri="{FF2B5EF4-FFF2-40B4-BE49-F238E27FC236}">
              <a16:creationId xmlns:a16="http://schemas.microsoft.com/office/drawing/2014/main" id="{00000000-0008-0000-0000-000057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574" name="TextBox 6573">
          <a:extLst>
            <a:ext uri="{FF2B5EF4-FFF2-40B4-BE49-F238E27FC236}">
              <a16:creationId xmlns:a16="http://schemas.microsoft.com/office/drawing/2014/main" id="{00000000-0008-0000-0000-000058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575" name="TextBox 6574">
          <a:extLst>
            <a:ext uri="{FF2B5EF4-FFF2-40B4-BE49-F238E27FC236}">
              <a16:creationId xmlns:a16="http://schemas.microsoft.com/office/drawing/2014/main" id="{00000000-0008-0000-0000-000059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576" name="TextBox 6575">
          <a:extLst>
            <a:ext uri="{FF2B5EF4-FFF2-40B4-BE49-F238E27FC236}">
              <a16:creationId xmlns:a16="http://schemas.microsoft.com/office/drawing/2014/main" id="{00000000-0008-0000-0000-00005A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577" name="TextBox 6576">
          <a:extLst>
            <a:ext uri="{FF2B5EF4-FFF2-40B4-BE49-F238E27FC236}">
              <a16:creationId xmlns:a16="http://schemas.microsoft.com/office/drawing/2014/main" id="{00000000-0008-0000-0000-00005B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578" name="TextBox 6577">
          <a:extLst>
            <a:ext uri="{FF2B5EF4-FFF2-40B4-BE49-F238E27FC236}">
              <a16:creationId xmlns:a16="http://schemas.microsoft.com/office/drawing/2014/main" id="{00000000-0008-0000-0000-00005C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579" name="TextBox 6578">
          <a:extLst>
            <a:ext uri="{FF2B5EF4-FFF2-40B4-BE49-F238E27FC236}">
              <a16:creationId xmlns:a16="http://schemas.microsoft.com/office/drawing/2014/main" id="{00000000-0008-0000-0000-00005D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580" name="TextBox 6579">
          <a:extLst>
            <a:ext uri="{FF2B5EF4-FFF2-40B4-BE49-F238E27FC236}">
              <a16:creationId xmlns:a16="http://schemas.microsoft.com/office/drawing/2014/main" id="{00000000-0008-0000-0000-00005E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581" name="TextBox 6580">
          <a:extLst>
            <a:ext uri="{FF2B5EF4-FFF2-40B4-BE49-F238E27FC236}">
              <a16:creationId xmlns:a16="http://schemas.microsoft.com/office/drawing/2014/main" id="{00000000-0008-0000-0000-00005F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6582" name="TextBox 6581">
          <a:extLst>
            <a:ext uri="{FF2B5EF4-FFF2-40B4-BE49-F238E27FC236}">
              <a16:creationId xmlns:a16="http://schemas.microsoft.com/office/drawing/2014/main" id="{00000000-0008-0000-0000-000060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6583" name="TextBox 6582">
          <a:extLst>
            <a:ext uri="{FF2B5EF4-FFF2-40B4-BE49-F238E27FC236}">
              <a16:creationId xmlns:a16="http://schemas.microsoft.com/office/drawing/2014/main" id="{00000000-0008-0000-0000-000061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6584" name="TextBox 6583">
          <a:extLst>
            <a:ext uri="{FF2B5EF4-FFF2-40B4-BE49-F238E27FC236}">
              <a16:creationId xmlns:a16="http://schemas.microsoft.com/office/drawing/2014/main" id="{00000000-0008-0000-0000-000062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6585" name="TextBox 6584">
          <a:extLst>
            <a:ext uri="{FF2B5EF4-FFF2-40B4-BE49-F238E27FC236}">
              <a16:creationId xmlns:a16="http://schemas.microsoft.com/office/drawing/2014/main" id="{00000000-0008-0000-0000-000063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586" name="TextBox 6585">
          <a:extLst>
            <a:ext uri="{FF2B5EF4-FFF2-40B4-BE49-F238E27FC236}">
              <a16:creationId xmlns:a16="http://schemas.microsoft.com/office/drawing/2014/main" id="{00000000-0008-0000-0000-000064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587" name="TextBox 6586">
          <a:extLst>
            <a:ext uri="{FF2B5EF4-FFF2-40B4-BE49-F238E27FC236}">
              <a16:creationId xmlns:a16="http://schemas.microsoft.com/office/drawing/2014/main" id="{00000000-0008-0000-0000-000065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588" name="TextBox 6587">
          <a:extLst>
            <a:ext uri="{FF2B5EF4-FFF2-40B4-BE49-F238E27FC236}">
              <a16:creationId xmlns:a16="http://schemas.microsoft.com/office/drawing/2014/main" id="{00000000-0008-0000-0000-000066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589" name="TextBox 6588">
          <a:extLst>
            <a:ext uri="{FF2B5EF4-FFF2-40B4-BE49-F238E27FC236}">
              <a16:creationId xmlns:a16="http://schemas.microsoft.com/office/drawing/2014/main" id="{00000000-0008-0000-0000-000067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590" name="TextBox 6589">
          <a:extLst>
            <a:ext uri="{FF2B5EF4-FFF2-40B4-BE49-F238E27FC236}">
              <a16:creationId xmlns:a16="http://schemas.microsoft.com/office/drawing/2014/main" id="{00000000-0008-0000-0000-000068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591" name="TextBox 6590">
          <a:extLst>
            <a:ext uri="{FF2B5EF4-FFF2-40B4-BE49-F238E27FC236}">
              <a16:creationId xmlns:a16="http://schemas.microsoft.com/office/drawing/2014/main" id="{00000000-0008-0000-0000-000069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592" name="TextBox 6591">
          <a:extLst>
            <a:ext uri="{FF2B5EF4-FFF2-40B4-BE49-F238E27FC236}">
              <a16:creationId xmlns:a16="http://schemas.microsoft.com/office/drawing/2014/main" id="{00000000-0008-0000-0000-00006A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593" name="TextBox 6592">
          <a:extLst>
            <a:ext uri="{FF2B5EF4-FFF2-40B4-BE49-F238E27FC236}">
              <a16:creationId xmlns:a16="http://schemas.microsoft.com/office/drawing/2014/main" id="{00000000-0008-0000-0000-00006B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594" name="TextBox 6593">
          <a:extLst>
            <a:ext uri="{FF2B5EF4-FFF2-40B4-BE49-F238E27FC236}">
              <a16:creationId xmlns:a16="http://schemas.microsoft.com/office/drawing/2014/main" id="{00000000-0008-0000-0000-00006C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595" name="TextBox 6594">
          <a:extLst>
            <a:ext uri="{FF2B5EF4-FFF2-40B4-BE49-F238E27FC236}">
              <a16:creationId xmlns:a16="http://schemas.microsoft.com/office/drawing/2014/main" id="{00000000-0008-0000-0000-00006D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596" name="TextBox 6595">
          <a:extLst>
            <a:ext uri="{FF2B5EF4-FFF2-40B4-BE49-F238E27FC236}">
              <a16:creationId xmlns:a16="http://schemas.microsoft.com/office/drawing/2014/main" id="{00000000-0008-0000-0000-00006E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597" name="TextBox 6596">
          <a:extLst>
            <a:ext uri="{FF2B5EF4-FFF2-40B4-BE49-F238E27FC236}">
              <a16:creationId xmlns:a16="http://schemas.microsoft.com/office/drawing/2014/main" id="{00000000-0008-0000-0000-00006F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598" name="TextBox 6597">
          <a:extLst>
            <a:ext uri="{FF2B5EF4-FFF2-40B4-BE49-F238E27FC236}">
              <a16:creationId xmlns:a16="http://schemas.microsoft.com/office/drawing/2014/main" id="{00000000-0008-0000-0000-000070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599" name="TextBox 6598">
          <a:extLst>
            <a:ext uri="{FF2B5EF4-FFF2-40B4-BE49-F238E27FC236}">
              <a16:creationId xmlns:a16="http://schemas.microsoft.com/office/drawing/2014/main" id="{00000000-0008-0000-0000-000071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600" name="TextBox 6599">
          <a:extLst>
            <a:ext uri="{FF2B5EF4-FFF2-40B4-BE49-F238E27FC236}">
              <a16:creationId xmlns:a16="http://schemas.microsoft.com/office/drawing/2014/main" id="{00000000-0008-0000-0000-000072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601" name="TextBox 6600">
          <a:extLst>
            <a:ext uri="{FF2B5EF4-FFF2-40B4-BE49-F238E27FC236}">
              <a16:creationId xmlns:a16="http://schemas.microsoft.com/office/drawing/2014/main" id="{00000000-0008-0000-0000-000073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6602" name="TextBox 6601">
          <a:extLst>
            <a:ext uri="{FF2B5EF4-FFF2-40B4-BE49-F238E27FC236}">
              <a16:creationId xmlns:a16="http://schemas.microsoft.com/office/drawing/2014/main" id="{00000000-0008-0000-0000-000074000000}"/>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6603" name="TextBox 6602">
          <a:extLst>
            <a:ext uri="{FF2B5EF4-FFF2-40B4-BE49-F238E27FC236}">
              <a16:creationId xmlns:a16="http://schemas.microsoft.com/office/drawing/2014/main" id="{00000000-0008-0000-0000-000075000000}"/>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6604" name="TextBox 6603">
          <a:extLst>
            <a:ext uri="{FF2B5EF4-FFF2-40B4-BE49-F238E27FC236}">
              <a16:creationId xmlns:a16="http://schemas.microsoft.com/office/drawing/2014/main" id="{00000000-0008-0000-0000-000076000000}"/>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6605" name="TextBox 6604">
          <a:extLst>
            <a:ext uri="{FF2B5EF4-FFF2-40B4-BE49-F238E27FC236}">
              <a16:creationId xmlns:a16="http://schemas.microsoft.com/office/drawing/2014/main" id="{00000000-0008-0000-0000-000077000000}"/>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6606" name="TextBox 6605">
          <a:extLst>
            <a:ext uri="{FF2B5EF4-FFF2-40B4-BE49-F238E27FC236}">
              <a16:creationId xmlns:a16="http://schemas.microsoft.com/office/drawing/2014/main" id="{00000000-0008-0000-0000-000078000000}"/>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6607" name="TextBox 6606">
          <a:extLst>
            <a:ext uri="{FF2B5EF4-FFF2-40B4-BE49-F238E27FC236}">
              <a16:creationId xmlns:a16="http://schemas.microsoft.com/office/drawing/2014/main" id="{00000000-0008-0000-0000-000079000000}"/>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6608" name="TextBox 6607">
          <a:extLst>
            <a:ext uri="{FF2B5EF4-FFF2-40B4-BE49-F238E27FC236}">
              <a16:creationId xmlns:a16="http://schemas.microsoft.com/office/drawing/2014/main" id="{00000000-0008-0000-0000-00007A000000}"/>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6609" name="TextBox 6608">
          <a:extLst>
            <a:ext uri="{FF2B5EF4-FFF2-40B4-BE49-F238E27FC236}">
              <a16:creationId xmlns:a16="http://schemas.microsoft.com/office/drawing/2014/main" id="{00000000-0008-0000-0000-00007B000000}"/>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6610" name="TextBox 6609">
          <a:extLst>
            <a:ext uri="{FF2B5EF4-FFF2-40B4-BE49-F238E27FC236}">
              <a16:creationId xmlns:a16="http://schemas.microsoft.com/office/drawing/2014/main" id="{00000000-0008-0000-0000-00007C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6611" name="TextBox 6610">
          <a:extLst>
            <a:ext uri="{FF2B5EF4-FFF2-40B4-BE49-F238E27FC236}">
              <a16:creationId xmlns:a16="http://schemas.microsoft.com/office/drawing/2014/main" id="{00000000-0008-0000-0000-00007D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6612" name="TextBox 6611">
          <a:extLst>
            <a:ext uri="{FF2B5EF4-FFF2-40B4-BE49-F238E27FC236}">
              <a16:creationId xmlns:a16="http://schemas.microsoft.com/office/drawing/2014/main" id="{00000000-0008-0000-0000-00007E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6613" name="TextBox 6612">
          <a:extLst>
            <a:ext uri="{FF2B5EF4-FFF2-40B4-BE49-F238E27FC236}">
              <a16:creationId xmlns:a16="http://schemas.microsoft.com/office/drawing/2014/main" id="{00000000-0008-0000-0000-00007F00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614" name="TextBox 6613">
          <a:extLst>
            <a:ext uri="{FF2B5EF4-FFF2-40B4-BE49-F238E27FC236}">
              <a16:creationId xmlns:a16="http://schemas.microsoft.com/office/drawing/2014/main" id="{00000000-0008-0000-0000-000080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615" name="TextBox 6614">
          <a:extLst>
            <a:ext uri="{FF2B5EF4-FFF2-40B4-BE49-F238E27FC236}">
              <a16:creationId xmlns:a16="http://schemas.microsoft.com/office/drawing/2014/main" id="{00000000-0008-0000-0000-000081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616" name="TextBox 6615">
          <a:extLst>
            <a:ext uri="{FF2B5EF4-FFF2-40B4-BE49-F238E27FC236}">
              <a16:creationId xmlns:a16="http://schemas.microsoft.com/office/drawing/2014/main" id="{00000000-0008-0000-0000-000082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617" name="TextBox 6616">
          <a:extLst>
            <a:ext uri="{FF2B5EF4-FFF2-40B4-BE49-F238E27FC236}">
              <a16:creationId xmlns:a16="http://schemas.microsoft.com/office/drawing/2014/main" id="{00000000-0008-0000-0000-000083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618" name="TextBox 6617">
          <a:extLst>
            <a:ext uri="{FF2B5EF4-FFF2-40B4-BE49-F238E27FC236}">
              <a16:creationId xmlns:a16="http://schemas.microsoft.com/office/drawing/2014/main" id="{00000000-0008-0000-0000-000084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619" name="TextBox 6618">
          <a:extLst>
            <a:ext uri="{FF2B5EF4-FFF2-40B4-BE49-F238E27FC236}">
              <a16:creationId xmlns:a16="http://schemas.microsoft.com/office/drawing/2014/main" id="{00000000-0008-0000-0000-000085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620" name="TextBox 6619">
          <a:extLst>
            <a:ext uri="{FF2B5EF4-FFF2-40B4-BE49-F238E27FC236}">
              <a16:creationId xmlns:a16="http://schemas.microsoft.com/office/drawing/2014/main" id="{00000000-0008-0000-0000-000086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621" name="TextBox 6620">
          <a:extLst>
            <a:ext uri="{FF2B5EF4-FFF2-40B4-BE49-F238E27FC236}">
              <a16:creationId xmlns:a16="http://schemas.microsoft.com/office/drawing/2014/main" id="{00000000-0008-0000-0000-000087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622" name="TextBox 6621">
          <a:extLst>
            <a:ext uri="{FF2B5EF4-FFF2-40B4-BE49-F238E27FC236}">
              <a16:creationId xmlns:a16="http://schemas.microsoft.com/office/drawing/2014/main" id="{00000000-0008-0000-0000-000088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623" name="TextBox 6622">
          <a:extLst>
            <a:ext uri="{FF2B5EF4-FFF2-40B4-BE49-F238E27FC236}">
              <a16:creationId xmlns:a16="http://schemas.microsoft.com/office/drawing/2014/main" id="{00000000-0008-0000-0000-000089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624" name="TextBox 6623">
          <a:extLst>
            <a:ext uri="{FF2B5EF4-FFF2-40B4-BE49-F238E27FC236}">
              <a16:creationId xmlns:a16="http://schemas.microsoft.com/office/drawing/2014/main" id="{00000000-0008-0000-0000-00008A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6625" name="TextBox 6624">
          <a:extLst>
            <a:ext uri="{FF2B5EF4-FFF2-40B4-BE49-F238E27FC236}">
              <a16:creationId xmlns:a16="http://schemas.microsoft.com/office/drawing/2014/main" id="{00000000-0008-0000-0000-00008B00000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26" name="TextBox 6625">
          <a:extLst>
            <a:ext uri="{FF2B5EF4-FFF2-40B4-BE49-F238E27FC236}">
              <a16:creationId xmlns:a16="http://schemas.microsoft.com/office/drawing/2014/main" id="{00000000-0008-0000-0000-00008C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27" name="TextBox 6626">
          <a:extLst>
            <a:ext uri="{FF2B5EF4-FFF2-40B4-BE49-F238E27FC236}">
              <a16:creationId xmlns:a16="http://schemas.microsoft.com/office/drawing/2014/main" id="{00000000-0008-0000-0000-00008D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28" name="TextBox 6627">
          <a:extLst>
            <a:ext uri="{FF2B5EF4-FFF2-40B4-BE49-F238E27FC236}">
              <a16:creationId xmlns:a16="http://schemas.microsoft.com/office/drawing/2014/main" id="{00000000-0008-0000-0000-00008E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29" name="TextBox 6628">
          <a:extLst>
            <a:ext uri="{FF2B5EF4-FFF2-40B4-BE49-F238E27FC236}">
              <a16:creationId xmlns:a16="http://schemas.microsoft.com/office/drawing/2014/main" id="{00000000-0008-0000-0000-00008F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30" name="TextBox 6629">
          <a:extLst>
            <a:ext uri="{FF2B5EF4-FFF2-40B4-BE49-F238E27FC236}">
              <a16:creationId xmlns:a16="http://schemas.microsoft.com/office/drawing/2014/main" id="{00000000-0008-0000-0000-000090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31" name="TextBox 6630">
          <a:extLst>
            <a:ext uri="{FF2B5EF4-FFF2-40B4-BE49-F238E27FC236}">
              <a16:creationId xmlns:a16="http://schemas.microsoft.com/office/drawing/2014/main" id="{00000000-0008-0000-0000-000091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32" name="TextBox 6631">
          <a:extLst>
            <a:ext uri="{FF2B5EF4-FFF2-40B4-BE49-F238E27FC236}">
              <a16:creationId xmlns:a16="http://schemas.microsoft.com/office/drawing/2014/main" id="{00000000-0008-0000-0000-000092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33" name="TextBox 6632">
          <a:extLst>
            <a:ext uri="{FF2B5EF4-FFF2-40B4-BE49-F238E27FC236}">
              <a16:creationId xmlns:a16="http://schemas.microsoft.com/office/drawing/2014/main" id="{00000000-0008-0000-0000-000093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34" name="TextBox 6633">
          <a:extLst>
            <a:ext uri="{FF2B5EF4-FFF2-40B4-BE49-F238E27FC236}">
              <a16:creationId xmlns:a16="http://schemas.microsoft.com/office/drawing/2014/main" id="{00000000-0008-0000-0000-000094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35" name="TextBox 6634">
          <a:extLst>
            <a:ext uri="{FF2B5EF4-FFF2-40B4-BE49-F238E27FC236}">
              <a16:creationId xmlns:a16="http://schemas.microsoft.com/office/drawing/2014/main" id="{00000000-0008-0000-0000-000095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36" name="TextBox 6635">
          <a:extLst>
            <a:ext uri="{FF2B5EF4-FFF2-40B4-BE49-F238E27FC236}">
              <a16:creationId xmlns:a16="http://schemas.microsoft.com/office/drawing/2014/main" id="{00000000-0008-0000-0000-000096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37" name="TextBox 6636">
          <a:extLst>
            <a:ext uri="{FF2B5EF4-FFF2-40B4-BE49-F238E27FC236}">
              <a16:creationId xmlns:a16="http://schemas.microsoft.com/office/drawing/2014/main" id="{00000000-0008-0000-0000-000097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38" name="TextBox 6637">
          <a:extLst>
            <a:ext uri="{FF2B5EF4-FFF2-40B4-BE49-F238E27FC236}">
              <a16:creationId xmlns:a16="http://schemas.microsoft.com/office/drawing/2014/main" id="{00000000-0008-0000-0000-000098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39" name="TextBox 6638">
          <a:extLst>
            <a:ext uri="{FF2B5EF4-FFF2-40B4-BE49-F238E27FC236}">
              <a16:creationId xmlns:a16="http://schemas.microsoft.com/office/drawing/2014/main" id="{00000000-0008-0000-0000-000099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40" name="TextBox 6639">
          <a:extLst>
            <a:ext uri="{FF2B5EF4-FFF2-40B4-BE49-F238E27FC236}">
              <a16:creationId xmlns:a16="http://schemas.microsoft.com/office/drawing/2014/main" id="{00000000-0008-0000-0000-00009A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41" name="TextBox 6640">
          <a:extLst>
            <a:ext uri="{FF2B5EF4-FFF2-40B4-BE49-F238E27FC236}">
              <a16:creationId xmlns:a16="http://schemas.microsoft.com/office/drawing/2014/main" id="{00000000-0008-0000-0000-00009B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42" name="TextBox 6641">
          <a:extLst>
            <a:ext uri="{FF2B5EF4-FFF2-40B4-BE49-F238E27FC236}">
              <a16:creationId xmlns:a16="http://schemas.microsoft.com/office/drawing/2014/main" id="{00000000-0008-0000-0000-00009C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43" name="TextBox 6642">
          <a:extLst>
            <a:ext uri="{FF2B5EF4-FFF2-40B4-BE49-F238E27FC236}">
              <a16:creationId xmlns:a16="http://schemas.microsoft.com/office/drawing/2014/main" id="{00000000-0008-0000-0000-00009D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44" name="TextBox 6643">
          <a:extLst>
            <a:ext uri="{FF2B5EF4-FFF2-40B4-BE49-F238E27FC236}">
              <a16:creationId xmlns:a16="http://schemas.microsoft.com/office/drawing/2014/main" id="{00000000-0008-0000-0000-00009E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45" name="TextBox 6644">
          <a:extLst>
            <a:ext uri="{FF2B5EF4-FFF2-40B4-BE49-F238E27FC236}">
              <a16:creationId xmlns:a16="http://schemas.microsoft.com/office/drawing/2014/main" id="{00000000-0008-0000-0000-00009F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46" name="TextBox 6645">
          <a:extLst>
            <a:ext uri="{FF2B5EF4-FFF2-40B4-BE49-F238E27FC236}">
              <a16:creationId xmlns:a16="http://schemas.microsoft.com/office/drawing/2014/main" id="{00000000-0008-0000-0000-0000A0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47" name="TextBox 6646">
          <a:extLst>
            <a:ext uri="{FF2B5EF4-FFF2-40B4-BE49-F238E27FC236}">
              <a16:creationId xmlns:a16="http://schemas.microsoft.com/office/drawing/2014/main" id="{00000000-0008-0000-0000-0000A1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48" name="TextBox 6647">
          <a:extLst>
            <a:ext uri="{FF2B5EF4-FFF2-40B4-BE49-F238E27FC236}">
              <a16:creationId xmlns:a16="http://schemas.microsoft.com/office/drawing/2014/main" id="{00000000-0008-0000-0000-0000A2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49" name="TextBox 6648">
          <a:extLst>
            <a:ext uri="{FF2B5EF4-FFF2-40B4-BE49-F238E27FC236}">
              <a16:creationId xmlns:a16="http://schemas.microsoft.com/office/drawing/2014/main" id="{00000000-0008-0000-0000-0000A3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50" name="TextBox 6649">
          <a:extLst>
            <a:ext uri="{FF2B5EF4-FFF2-40B4-BE49-F238E27FC236}">
              <a16:creationId xmlns:a16="http://schemas.microsoft.com/office/drawing/2014/main" id="{00000000-0008-0000-0000-0000A4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51" name="TextBox 6650">
          <a:extLst>
            <a:ext uri="{FF2B5EF4-FFF2-40B4-BE49-F238E27FC236}">
              <a16:creationId xmlns:a16="http://schemas.microsoft.com/office/drawing/2014/main" id="{00000000-0008-0000-0000-0000A5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52" name="TextBox 6651">
          <a:extLst>
            <a:ext uri="{FF2B5EF4-FFF2-40B4-BE49-F238E27FC236}">
              <a16:creationId xmlns:a16="http://schemas.microsoft.com/office/drawing/2014/main" id="{00000000-0008-0000-0000-0000A6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53" name="TextBox 6652">
          <a:extLst>
            <a:ext uri="{FF2B5EF4-FFF2-40B4-BE49-F238E27FC236}">
              <a16:creationId xmlns:a16="http://schemas.microsoft.com/office/drawing/2014/main" id="{00000000-0008-0000-0000-0000A7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54" name="TextBox 6653">
          <a:extLst>
            <a:ext uri="{FF2B5EF4-FFF2-40B4-BE49-F238E27FC236}">
              <a16:creationId xmlns:a16="http://schemas.microsoft.com/office/drawing/2014/main" id="{00000000-0008-0000-0000-0000A8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55" name="TextBox 6654">
          <a:extLst>
            <a:ext uri="{FF2B5EF4-FFF2-40B4-BE49-F238E27FC236}">
              <a16:creationId xmlns:a16="http://schemas.microsoft.com/office/drawing/2014/main" id="{00000000-0008-0000-0000-0000A9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56" name="TextBox 6655">
          <a:extLst>
            <a:ext uri="{FF2B5EF4-FFF2-40B4-BE49-F238E27FC236}">
              <a16:creationId xmlns:a16="http://schemas.microsoft.com/office/drawing/2014/main" id="{00000000-0008-0000-0000-0000AA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57" name="TextBox 6656">
          <a:extLst>
            <a:ext uri="{FF2B5EF4-FFF2-40B4-BE49-F238E27FC236}">
              <a16:creationId xmlns:a16="http://schemas.microsoft.com/office/drawing/2014/main" id="{00000000-0008-0000-0000-0000AB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58" name="TextBox 6657">
          <a:extLst>
            <a:ext uri="{FF2B5EF4-FFF2-40B4-BE49-F238E27FC236}">
              <a16:creationId xmlns:a16="http://schemas.microsoft.com/office/drawing/2014/main" id="{00000000-0008-0000-0000-0000AC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59" name="TextBox 6658">
          <a:extLst>
            <a:ext uri="{FF2B5EF4-FFF2-40B4-BE49-F238E27FC236}">
              <a16:creationId xmlns:a16="http://schemas.microsoft.com/office/drawing/2014/main" id="{00000000-0008-0000-0000-0000AD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60" name="TextBox 6659">
          <a:extLst>
            <a:ext uri="{FF2B5EF4-FFF2-40B4-BE49-F238E27FC236}">
              <a16:creationId xmlns:a16="http://schemas.microsoft.com/office/drawing/2014/main" id="{00000000-0008-0000-0000-0000AE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6661" name="TextBox 6660">
          <a:extLst>
            <a:ext uri="{FF2B5EF4-FFF2-40B4-BE49-F238E27FC236}">
              <a16:creationId xmlns:a16="http://schemas.microsoft.com/office/drawing/2014/main" id="{00000000-0008-0000-0000-0000AF000000}"/>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6662" name="TextBox 6661">
          <a:extLst>
            <a:ext uri="{FF2B5EF4-FFF2-40B4-BE49-F238E27FC236}">
              <a16:creationId xmlns:a16="http://schemas.microsoft.com/office/drawing/2014/main" id="{00000000-0008-0000-0000-0000B000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6663" name="TextBox 6662">
          <a:extLst>
            <a:ext uri="{FF2B5EF4-FFF2-40B4-BE49-F238E27FC236}">
              <a16:creationId xmlns:a16="http://schemas.microsoft.com/office/drawing/2014/main" id="{00000000-0008-0000-0000-0000B100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6664" name="TextBox 6663">
          <a:extLst>
            <a:ext uri="{FF2B5EF4-FFF2-40B4-BE49-F238E27FC236}">
              <a16:creationId xmlns:a16="http://schemas.microsoft.com/office/drawing/2014/main" id="{00000000-0008-0000-0000-0000B200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6665" name="TextBox 6664">
          <a:extLst>
            <a:ext uri="{FF2B5EF4-FFF2-40B4-BE49-F238E27FC236}">
              <a16:creationId xmlns:a16="http://schemas.microsoft.com/office/drawing/2014/main" id="{00000000-0008-0000-0000-0000B300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6666" name="TextBox 6665">
          <a:extLst>
            <a:ext uri="{FF2B5EF4-FFF2-40B4-BE49-F238E27FC236}">
              <a16:creationId xmlns:a16="http://schemas.microsoft.com/office/drawing/2014/main" id="{00000000-0008-0000-0000-0000B400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6667" name="TextBox 6666">
          <a:extLst>
            <a:ext uri="{FF2B5EF4-FFF2-40B4-BE49-F238E27FC236}">
              <a16:creationId xmlns:a16="http://schemas.microsoft.com/office/drawing/2014/main" id="{00000000-0008-0000-0000-0000B500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6668" name="TextBox 6667">
          <a:extLst>
            <a:ext uri="{FF2B5EF4-FFF2-40B4-BE49-F238E27FC236}">
              <a16:creationId xmlns:a16="http://schemas.microsoft.com/office/drawing/2014/main" id="{00000000-0008-0000-0000-0000B600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6669" name="TextBox 6668">
          <a:extLst>
            <a:ext uri="{FF2B5EF4-FFF2-40B4-BE49-F238E27FC236}">
              <a16:creationId xmlns:a16="http://schemas.microsoft.com/office/drawing/2014/main" id="{00000000-0008-0000-0000-0000B700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70" name="TextBox 6669">
          <a:extLst>
            <a:ext uri="{FF2B5EF4-FFF2-40B4-BE49-F238E27FC236}">
              <a16:creationId xmlns:a16="http://schemas.microsoft.com/office/drawing/2014/main" id="{00000000-0008-0000-0000-0000B8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71" name="TextBox 6670">
          <a:extLst>
            <a:ext uri="{FF2B5EF4-FFF2-40B4-BE49-F238E27FC236}">
              <a16:creationId xmlns:a16="http://schemas.microsoft.com/office/drawing/2014/main" id="{00000000-0008-0000-0000-0000B9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72" name="TextBox 6671">
          <a:extLst>
            <a:ext uri="{FF2B5EF4-FFF2-40B4-BE49-F238E27FC236}">
              <a16:creationId xmlns:a16="http://schemas.microsoft.com/office/drawing/2014/main" id="{00000000-0008-0000-0000-0000BA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73" name="TextBox 6672">
          <a:extLst>
            <a:ext uri="{FF2B5EF4-FFF2-40B4-BE49-F238E27FC236}">
              <a16:creationId xmlns:a16="http://schemas.microsoft.com/office/drawing/2014/main" id="{00000000-0008-0000-0000-0000BB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74" name="TextBox 6673">
          <a:extLst>
            <a:ext uri="{FF2B5EF4-FFF2-40B4-BE49-F238E27FC236}">
              <a16:creationId xmlns:a16="http://schemas.microsoft.com/office/drawing/2014/main" id="{00000000-0008-0000-0000-0000BC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75" name="TextBox 6674">
          <a:extLst>
            <a:ext uri="{FF2B5EF4-FFF2-40B4-BE49-F238E27FC236}">
              <a16:creationId xmlns:a16="http://schemas.microsoft.com/office/drawing/2014/main" id="{00000000-0008-0000-0000-0000BD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76" name="TextBox 6675">
          <a:extLst>
            <a:ext uri="{FF2B5EF4-FFF2-40B4-BE49-F238E27FC236}">
              <a16:creationId xmlns:a16="http://schemas.microsoft.com/office/drawing/2014/main" id="{00000000-0008-0000-0000-0000BE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77" name="TextBox 6676">
          <a:extLst>
            <a:ext uri="{FF2B5EF4-FFF2-40B4-BE49-F238E27FC236}">
              <a16:creationId xmlns:a16="http://schemas.microsoft.com/office/drawing/2014/main" id="{00000000-0008-0000-0000-0000BF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78" name="TextBox 6677">
          <a:extLst>
            <a:ext uri="{FF2B5EF4-FFF2-40B4-BE49-F238E27FC236}">
              <a16:creationId xmlns:a16="http://schemas.microsoft.com/office/drawing/2014/main" id="{00000000-0008-0000-0000-0000C0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79" name="TextBox 6678">
          <a:extLst>
            <a:ext uri="{FF2B5EF4-FFF2-40B4-BE49-F238E27FC236}">
              <a16:creationId xmlns:a16="http://schemas.microsoft.com/office/drawing/2014/main" id="{00000000-0008-0000-0000-0000C1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80" name="TextBox 6679">
          <a:extLst>
            <a:ext uri="{FF2B5EF4-FFF2-40B4-BE49-F238E27FC236}">
              <a16:creationId xmlns:a16="http://schemas.microsoft.com/office/drawing/2014/main" id="{00000000-0008-0000-0000-0000C2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81" name="TextBox 6680">
          <a:extLst>
            <a:ext uri="{FF2B5EF4-FFF2-40B4-BE49-F238E27FC236}">
              <a16:creationId xmlns:a16="http://schemas.microsoft.com/office/drawing/2014/main" id="{00000000-0008-0000-0000-0000C3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82" name="TextBox 6681">
          <a:extLst>
            <a:ext uri="{FF2B5EF4-FFF2-40B4-BE49-F238E27FC236}">
              <a16:creationId xmlns:a16="http://schemas.microsoft.com/office/drawing/2014/main" id="{00000000-0008-0000-0000-0000C4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83" name="TextBox 6682">
          <a:extLst>
            <a:ext uri="{FF2B5EF4-FFF2-40B4-BE49-F238E27FC236}">
              <a16:creationId xmlns:a16="http://schemas.microsoft.com/office/drawing/2014/main" id="{00000000-0008-0000-0000-0000C5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84" name="TextBox 6683">
          <a:extLst>
            <a:ext uri="{FF2B5EF4-FFF2-40B4-BE49-F238E27FC236}">
              <a16:creationId xmlns:a16="http://schemas.microsoft.com/office/drawing/2014/main" id="{00000000-0008-0000-0000-0000C6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85" name="TextBox 6684">
          <a:extLst>
            <a:ext uri="{FF2B5EF4-FFF2-40B4-BE49-F238E27FC236}">
              <a16:creationId xmlns:a16="http://schemas.microsoft.com/office/drawing/2014/main" id="{00000000-0008-0000-0000-0000C7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86" name="TextBox 6685">
          <a:extLst>
            <a:ext uri="{FF2B5EF4-FFF2-40B4-BE49-F238E27FC236}">
              <a16:creationId xmlns:a16="http://schemas.microsoft.com/office/drawing/2014/main" id="{00000000-0008-0000-0000-0000C8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87" name="TextBox 6686">
          <a:extLst>
            <a:ext uri="{FF2B5EF4-FFF2-40B4-BE49-F238E27FC236}">
              <a16:creationId xmlns:a16="http://schemas.microsoft.com/office/drawing/2014/main" id="{00000000-0008-0000-0000-0000C9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88" name="TextBox 6687">
          <a:extLst>
            <a:ext uri="{FF2B5EF4-FFF2-40B4-BE49-F238E27FC236}">
              <a16:creationId xmlns:a16="http://schemas.microsoft.com/office/drawing/2014/main" id="{00000000-0008-0000-0000-0000CA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89" name="TextBox 6688">
          <a:extLst>
            <a:ext uri="{FF2B5EF4-FFF2-40B4-BE49-F238E27FC236}">
              <a16:creationId xmlns:a16="http://schemas.microsoft.com/office/drawing/2014/main" id="{00000000-0008-0000-0000-0000CB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90" name="TextBox 6689">
          <a:extLst>
            <a:ext uri="{FF2B5EF4-FFF2-40B4-BE49-F238E27FC236}">
              <a16:creationId xmlns:a16="http://schemas.microsoft.com/office/drawing/2014/main" id="{00000000-0008-0000-0000-0000CC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91" name="TextBox 6690">
          <a:extLst>
            <a:ext uri="{FF2B5EF4-FFF2-40B4-BE49-F238E27FC236}">
              <a16:creationId xmlns:a16="http://schemas.microsoft.com/office/drawing/2014/main" id="{00000000-0008-0000-0000-0000CD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92" name="TextBox 6691">
          <a:extLst>
            <a:ext uri="{FF2B5EF4-FFF2-40B4-BE49-F238E27FC236}">
              <a16:creationId xmlns:a16="http://schemas.microsoft.com/office/drawing/2014/main" id="{00000000-0008-0000-0000-0000CE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93" name="TextBox 6692">
          <a:extLst>
            <a:ext uri="{FF2B5EF4-FFF2-40B4-BE49-F238E27FC236}">
              <a16:creationId xmlns:a16="http://schemas.microsoft.com/office/drawing/2014/main" id="{00000000-0008-0000-0000-0000CF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94" name="TextBox 6693">
          <a:extLst>
            <a:ext uri="{FF2B5EF4-FFF2-40B4-BE49-F238E27FC236}">
              <a16:creationId xmlns:a16="http://schemas.microsoft.com/office/drawing/2014/main" id="{00000000-0008-0000-0000-0000D0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95" name="TextBox 6694">
          <a:extLst>
            <a:ext uri="{FF2B5EF4-FFF2-40B4-BE49-F238E27FC236}">
              <a16:creationId xmlns:a16="http://schemas.microsoft.com/office/drawing/2014/main" id="{00000000-0008-0000-0000-0000D1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96" name="TextBox 6695">
          <a:extLst>
            <a:ext uri="{FF2B5EF4-FFF2-40B4-BE49-F238E27FC236}">
              <a16:creationId xmlns:a16="http://schemas.microsoft.com/office/drawing/2014/main" id="{00000000-0008-0000-0000-0000D2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97" name="TextBox 6696">
          <a:extLst>
            <a:ext uri="{FF2B5EF4-FFF2-40B4-BE49-F238E27FC236}">
              <a16:creationId xmlns:a16="http://schemas.microsoft.com/office/drawing/2014/main" id="{00000000-0008-0000-0000-0000D3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98" name="TextBox 6697">
          <a:extLst>
            <a:ext uri="{FF2B5EF4-FFF2-40B4-BE49-F238E27FC236}">
              <a16:creationId xmlns:a16="http://schemas.microsoft.com/office/drawing/2014/main" id="{00000000-0008-0000-0000-0000D4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699" name="TextBox 6698">
          <a:extLst>
            <a:ext uri="{FF2B5EF4-FFF2-40B4-BE49-F238E27FC236}">
              <a16:creationId xmlns:a16="http://schemas.microsoft.com/office/drawing/2014/main" id="{00000000-0008-0000-0000-0000D5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700" name="TextBox 6699">
          <a:extLst>
            <a:ext uri="{FF2B5EF4-FFF2-40B4-BE49-F238E27FC236}">
              <a16:creationId xmlns:a16="http://schemas.microsoft.com/office/drawing/2014/main" id="{00000000-0008-0000-0000-0000D6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701" name="TextBox 6700">
          <a:extLst>
            <a:ext uri="{FF2B5EF4-FFF2-40B4-BE49-F238E27FC236}">
              <a16:creationId xmlns:a16="http://schemas.microsoft.com/office/drawing/2014/main" id="{00000000-0008-0000-0000-0000D7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702" name="TextBox 6701">
          <a:extLst>
            <a:ext uri="{FF2B5EF4-FFF2-40B4-BE49-F238E27FC236}">
              <a16:creationId xmlns:a16="http://schemas.microsoft.com/office/drawing/2014/main" id="{00000000-0008-0000-0000-0000D8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703" name="TextBox 6702">
          <a:extLst>
            <a:ext uri="{FF2B5EF4-FFF2-40B4-BE49-F238E27FC236}">
              <a16:creationId xmlns:a16="http://schemas.microsoft.com/office/drawing/2014/main" id="{00000000-0008-0000-0000-0000D9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704" name="TextBox 6703">
          <a:extLst>
            <a:ext uri="{FF2B5EF4-FFF2-40B4-BE49-F238E27FC236}">
              <a16:creationId xmlns:a16="http://schemas.microsoft.com/office/drawing/2014/main" id="{00000000-0008-0000-0000-0000DA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705" name="TextBox 6704">
          <a:extLst>
            <a:ext uri="{FF2B5EF4-FFF2-40B4-BE49-F238E27FC236}">
              <a16:creationId xmlns:a16="http://schemas.microsoft.com/office/drawing/2014/main" id="{00000000-0008-0000-0000-0000DB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706" name="TextBox 6705">
          <a:extLst>
            <a:ext uri="{FF2B5EF4-FFF2-40B4-BE49-F238E27FC236}">
              <a16:creationId xmlns:a16="http://schemas.microsoft.com/office/drawing/2014/main" id="{00000000-0008-0000-0000-0000DC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707" name="TextBox 6706">
          <a:extLst>
            <a:ext uri="{FF2B5EF4-FFF2-40B4-BE49-F238E27FC236}">
              <a16:creationId xmlns:a16="http://schemas.microsoft.com/office/drawing/2014/main" id="{00000000-0008-0000-0000-0000DD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708" name="TextBox 6707">
          <a:extLst>
            <a:ext uri="{FF2B5EF4-FFF2-40B4-BE49-F238E27FC236}">
              <a16:creationId xmlns:a16="http://schemas.microsoft.com/office/drawing/2014/main" id="{00000000-0008-0000-0000-0000DE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709" name="TextBox 6708">
          <a:extLst>
            <a:ext uri="{FF2B5EF4-FFF2-40B4-BE49-F238E27FC236}">
              <a16:creationId xmlns:a16="http://schemas.microsoft.com/office/drawing/2014/main" id="{00000000-0008-0000-0000-0000DF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710" name="TextBox 6709">
          <a:extLst>
            <a:ext uri="{FF2B5EF4-FFF2-40B4-BE49-F238E27FC236}">
              <a16:creationId xmlns:a16="http://schemas.microsoft.com/office/drawing/2014/main" id="{00000000-0008-0000-0000-0000E0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711" name="TextBox 6710">
          <a:extLst>
            <a:ext uri="{FF2B5EF4-FFF2-40B4-BE49-F238E27FC236}">
              <a16:creationId xmlns:a16="http://schemas.microsoft.com/office/drawing/2014/main" id="{00000000-0008-0000-0000-0000E1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712" name="TextBox 6711">
          <a:extLst>
            <a:ext uri="{FF2B5EF4-FFF2-40B4-BE49-F238E27FC236}">
              <a16:creationId xmlns:a16="http://schemas.microsoft.com/office/drawing/2014/main" id="{00000000-0008-0000-0000-0000E2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713" name="TextBox 6712">
          <a:extLst>
            <a:ext uri="{FF2B5EF4-FFF2-40B4-BE49-F238E27FC236}">
              <a16:creationId xmlns:a16="http://schemas.microsoft.com/office/drawing/2014/main" id="{00000000-0008-0000-0000-0000E3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714" name="TextBox 6713">
          <a:extLst>
            <a:ext uri="{FF2B5EF4-FFF2-40B4-BE49-F238E27FC236}">
              <a16:creationId xmlns:a16="http://schemas.microsoft.com/office/drawing/2014/main" id="{00000000-0008-0000-0000-0000E4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715" name="TextBox 6714">
          <a:extLst>
            <a:ext uri="{FF2B5EF4-FFF2-40B4-BE49-F238E27FC236}">
              <a16:creationId xmlns:a16="http://schemas.microsoft.com/office/drawing/2014/main" id="{00000000-0008-0000-0000-0000E5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716" name="TextBox 6715">
          <a:extLst>
            <a:ext uri="{FF2B5EF4-FFF2-40B4-BE49-F238E27FC236}">
              <a16:creationId xmlns:a16="http://schemas.microsoft.com/office/drawing/2014/main" id="{00000000-0008-0000-0000-0000E6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6717" name="TextBox 6716">
          <a:extLst>
            <a:ext uri="{FF2B5EF4-FFF2-40B4-BE49-F238E27FC236}">
              <a16:creationId xmlns:a16="http://schemas.microsoft.com/office/drawing/2014/main" id="{00000000-0008-0000-0000-0000E700000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6718" name="TextBox 6717">
          <a:extLst>
            <a:ext uri="{FF2B5EF4-FFF2-40B4-BE49-F238E27FC236}">
              <a16:creationId xmlns:a16="http://schemas.microsoft.com/office/drawing/2014/main" id="{00000000-0008-0000-0000-0000E8000000}"/>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6719" name="TextBox 6718">
          <a:extLst>
            <a:ext uri="{FF2B5EF4-FFF2-40B4-BE49-F238E27FC236}">
              <a16:creationId xmlns:a16="http://schemas.microsoft.com/office/drawing/2014/main" id="{00000000-0008-0000-0000-0000E9000000}"/>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6720" name="TextBox 6719">
          <a:extLst>
            <a:ext uri="{FF2B5EF4-FFF2-40B4-BE49-F238E27FC236}">
              <a16:creationId xmlns:a16="http://schemas.microsoft.com/office/drawing/2014/main" id="{00000000-0008-0000-0000-0000EA000000}"/>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6721" name="TextBox 6720">
          <a:extLst>
            <a:ext uri="{FF2B5EF4-FFF2-40B4-BE49-F238E27FC236}">
              <a16:creationId xmlns:a16="http://schemas.microsoft.com/office/drawing/2014/main" id="{00000000-0008-0000-0000-0000EB000000}"/>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6722" name="TextBox 6721">
          <a:extLst>
            <a:ext uri="{FF2B5EF4-FFF2-40B4-BE49-F238E27FC236}">
              <a16:creationId xmlns:a16="http://schemas.microsoft.com/office/drawing/2014/main" id="{00000000-0008-0000-0000-0000EC000000}"/>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6723" name="TextBox 6722">
          <a:extLst>
            <a:ext uri="{FF2B5EF4-FFF2-40B4-BE49-F238E27FC236}">
              <a16:creationId xmlns:a16="http://schemas.microsoft.com/office/drawing/2014/main" id="{00000000-0008-0000-0000-0000ED000000}"/>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6724" name="TextBox 6723">
          <a:extLst>
            <a:ext uri="{FF2B5EF4-FFF2-40B4-BE49-F238E27FC236}">
              <a16:creationId xmlns:a16="http://schemas.microsoft.com/office/drawing/2014/main" id="{00000000-0008-0000-0000-0000EE000000}"/>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6725" name="TextBox 6724">
          <a:extLst>
            <a:ext uri="{FF2B5EF4-FFF2-40B4-BE49-F238E27FC236}">
              <a16:creationId xmlns:a16="http://schemas.microsoft.com/office/drawing/2014/main" id="{00000000-0008-0000-0000-0000EF000000}"/>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26" name="TextBox 6725">
          <a:extLst>
            <a:ext uri="{FF2B5EF4-FFF2-40B4-BE49-F238E27FC236}">
              <a16:creationId xmlns:a16="http://schemas.microsoft.com/office/drawing/2014/main" id="{00000000-0008-0000-0000-0000F0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27" name="TextBox 6726">
          <a:extLst>
            <a:ext uri="{FF2B5EF4-FFF2-40B4-BE49-F238E27FC236}">
              <a16:creationId xmlns:a16="http://schemas.microsoft.com/office/drawing/2014/main" id="{00000000-0008-0000-0000-0000F1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28" name="TextBox 6727">
          <a:extLst>
            <a:ext uri="{FF2B5EF4-FFF2-40B4-BE49-F238E27FC236}">
              <a16:creationId xmlns:a16="http://schemas.microsoft.com/office/drawing/2014/main" id="{00000000-0008-0000-0000-0000F2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29" name="TextBox 6728">
          <a:extLst>
            <a:ext uri="{FF2B5EF4-FFF2-40B4-BE49-F238E27FC236}">
              <a16:creationId xmlns:a16="http://schemas.microsoft.com/office/drawing/2014/main" id="{00000000-0008-0000-0000-0000F3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30" name="TextBox 6729">
          <a:extLst>
            <a:ext uri="{FF2B5EF4-FFF2-40B4-BE49-F238E27FC236}">
              <a16:creationId xmlns:a16="http://schemas.microsoft.com/office/drawing/2014/main" id="{00000000-0008-0000-0000-0000F4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31" name="TextBox 6730">
          <a:extLst>
            <a:ext uri="{FF2B5EF4-FFF2-40B4-BE49-F238E27FC236}">
              <a16:creationId xmlns:a16="http://schemas.microsoft.com/office/drawing/2014/main" id="{00000000-0008-0000-0000-0000F5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32" name="TextBox 6731">
          <a:extLst>
            <a:ext uri="{FF2B5EF4-FFF2-40B4-BE49-F238E27FC236}">
              <a16:creationId xmlns:a16="http://schemas.microsoft.com/office/drawing/2014/main" id="{00000000-0008-0000-0000-0000F6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33" name="TextBox 6732">
          <a:extLst>
            <a:ext uri="{FF2B5EF4-FFF2-40B4-BE49-F238E27FC236}">
              <a16:creationId xmlns:a16="http://schemas.microsoft.com/office/drawing/2014/main" id="{00000000-0008-0000-0000-0000F7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34" name="TextBox 6733">
          <a:extLst>
            <a:ext uri="{FF2B5EF4-FFF2-40B4-BE49-F238E27FC236}">
              <a16:creationId xmlns:a16="http://schemas.microsoft.com/office/drawing/2014/main" id="{00000000-0008-0000-0000-0000F8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35" name="TextBox 6734">
          <a:extLst>
            <a:ext uri="{FF2B5EF4-FFF2-40B4-BE49-F238E27FC236}">
              <a16:creationId xmlns:a16="http://schemas.microsoft.com/office/drawing/2014/main" id="{00000000-0008-0000-0000-0000F9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36" name="TextBox 6735">
          <a:extLst>
            <a:ext uri="{FF2B5EF4-FFF2-40B4-BE49-F238E27FC236}">
              <a16:creationId xmlns:a16="http://schemas.microsoft.com/office/drawing/2014/main" id="{00000000-0008-0000-0000-0000FA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37" name="TextBox 6736">
          <a:extLst>
            <a:ext uri="{FF2B5EF4-FFF2-40B4-BE49-F238E27FC236}">
              <a16:creationId xmlns:a16="http://schemas.microsoft.com/office/drawing/2014/main" id="{00000000-0008-0000-0000-0000FB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38" name="TextBox 6737">
          <a:extLst>
            <a:ext uri="{FF2B5EF4-FFF2-40B4-BE49-F238E27FC236}">
              <a16:creationId xmlns:a16="http://schemas.microsoft.com/office/drawing/2014/main" id="{00000000-0008-0000-0000-0000FC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39" name="TextBox 6738">
          <a:extLst>
            <a:ext uri="{FF2B5EF4-FFF2-40B4-BE49-F238E27FC236}">
              <a16:creationId xmlns:a16="http://schemas.microsoft.com/office/drawing/2014/main" id="{00000000-0008-0000-0000-0000FD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40" name="TextBox 6739">
          <a:extLst>
            <a:ext uri="{FF2B5EF4-FFF2-40B4-BE49-F238E27FC236}">
              <a16:creationId xmlns:a16="http://schemas.microsoft.com/office/drawing/2014/main" id="{00000000-0008-0000-0000-0000FE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41" name="TextBox 6740">
          <a:extLst>
            <a:ext uri="{FF2B5EF4-FFF2-40B4-BE49-F238E27FC236}">
              <a16:creationId xmlns:a16="http://schemas.microsoft.com/office/drawing/2014/main" id="{00000000-0008-0000-0000-0000FF00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42" name="TextBox 6741">
          <a:extLst>
            <a:ext uri="{FF2B5EF4-FFF2-40B4-BE49-F238E27FC236}">
              <a16:creationId xmlns:a16="http://schemas.microsoft.com/office/drawing/2014/main" id="{00000000-0008-0000-0000-000000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43" name="TextBox 6742">
          <a:extLst>
            <a:ext uri="{FF2B5EF4-FFF2-40B4-BE49-F238E27FC236}">
              <a16:creationId xmlns:a16="http://schemas.microsoft.com/office/drawing/2014/main" id="{00000000-0008-0000-0000-000001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44" name="TextBox 6743">
          <a:extLst>
            <a:ext uri="{FF2B5EF4-FFF2-40B4-BE49-F238E27FC236}">
              <a16:creationId xmlns:a16="http://schemas.microsoft.com/office/drawing/2014/main" id="{00000000-0008-0000-0000-000002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45" name="TextBox 6744">
          <a:extLst>
            <a:ext uri="{FF2B5EF4-FFF2-40B4-BE49-F238E27FC236}">
              <a16:creationId xmlns:a16="http://schemas.microsoft.com/office/drawing/2014/main" id="{00000000-0008-0000-0000-000003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46" name="TextBox 6745">
          <a:extLst>
            <a:ext uri="{FF2B5EF4-FFF2-40B4-BE49-F238E27FC236}">
              <a16:creationId xmlns:a16="http://schemas.microsoft.com/office/drawing/2014/main" id="{00000000-0008-0000-0000-000004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47" name="TextBox 6746">
          <a:extLst>
            <a:ext uri="{FF2B5EF4-FFF2-40B4-BE49-F238E27FC236}">
              <a16:creationId xmlns:a16="http://schemas.microsoft.com/office/drawing/2014/main" id="{00000000-0008-0000-0000-000005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48" name="TextBox 6747">
          <a:extLst>
            <a:ext uri="{FF2B5EF4-FFF2-40B4-BE49-F238E27FC236}">
              <a16:creationId xmlns:a16="http://schemas.microsoft.com/office/drawing/2014/main" id="{00000000-0008-0000-0000-000006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49" name="TextBox 6748">
          <a:extLst>
            <a:ext uri="{FF2B5EF4-FFF2-40B4-BE49-F238E27FC236}">
              <a16:creationId xmlns:a16="http://schemas.microsoft.com/office/drawing/2014/main" id="{00000000-0008-0000-0000-000007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50" name="TextBox 6749">
          <a:extLst>
            <a:ext uri="{FF2B5EF4-FFF2-40B4-BE49-F238E27FC236}">
              <a16:creationId xmlns:a16="http://schemas.microsoft.com/office/drawing/2014/main" id="{00000000-0008-0000-0000-000008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51" name="TextBox 6750">
          <a:extLst>
            <a:ext uri="{FF2B5EF4-FFF2-40B4-BE49-F238E27FC236}">
              <a16:creationId xmlns:a16="http://schemas.microsoft.com/office/drawing/2014/main" id="{00000000-0008-0000-0000-000009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52" name="TextBox 6751">
          <a:extLst>
            <a:ext uri="{FF2B5EF4-FFF2-40B4-BE49-F238E27FC236}">
              <a16:creationId xmlns:a16="http://schemas.microsoft.com/office/drawing/2014/main" id="{00000000-0008-0000-0000-00000A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53" name="TextBox 6752">
          <a:extLst>
            <a:ext uri="{FF2B5EF4-FFF2-40B4-BE49-F238E27FC236}">
              <a16:creationId xmlns:a16="http://schemas.microsoft.com/office/drawing/2014/main" id="{00000000-0008-0000-0000-00000B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54" name="TextBox 6753">
          <a:extLst>
            <a:ext uri="{FF2B5EF4-FFF2-40B4-BE49-F238E27FC236}">
              <a16:creationId xmlns:a16="http://schemas.microsoft.com/office/drawing/2014/main" id="{00000000-0008-0000-0000-00000C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55" name="TextBox 6754">
          <a:extLst>
            <a:ext uri="{FF2B5EF4-FFF2-40B4-BE49-F238E27FC236}">
              <a16:creationId xmlns:a16="http://schemas.microsoft.com/office/drawing/2014/main" id="{00000000-0008-0000-0000-00000D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56" name="TextBox 6755">
          <a:extLst>
            <a:ext uri="{FF2B5EF4-FFF2-40B4-BE49-F238E27FC236}">
              <a16:creationId xmlns:a16="http://schemas.microsoft.com/office/drawing/2014/main" id="{00000000-0008-0000-0000-00000E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57" name="TextBox 6756">
          <a:extLst>
            <a:ext uri="{FF2B5EF4-FFF2-40B4-BE49-F238E27FC236}">
              <a16:creationId xmlns:a16="http://schemas.microsoft.com/office/drawing/2014/main" id="{00000000-0008-0000-0000-00000F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58" name="TextBox 6757">
          <a:extLst>
            <a:ext uri="{FF2B5EF4-FFF2-40B4-BE49-F238E27FC236}">
              <a16:creationId xmlns:a16="http://schemas.microsoft.com/office/drawing/2014/main" id="{00000000-0008-0000-0000-000010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59" name="TextBox 6758">
          <a:extLst>
            <a:ext uri="{FF2B5EF4-FFF2-40B4-BE49-F238E27FC236}">
              <a16:creationId xmlns:a16="http://schemas.microsoft.com/office/drawing/2014/main" id="{00000000-0008-0000-0000-000011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60" name="TextBox 6759">
          <a:extLst>
            <a:ext uri="{FF2B5EF4-FFF2-40B4-BE49-F238E27FC236}">
              <a16:creationId xmlns:a16="http://schemas.microsoft.com/office/drawing/2014/main" id="{00000000-0008-0000-0000-000012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61" name="TextBox 6760">
          <a:extLst>
            <a:ext uri="{FF2B5EF4-FFF2-40B4-BE49-F238E27FC236}">
              <a16:creationId xmlns:a16="http://schemas.microsoft.com/office/drawing/2014/main" id="{00000000-0008-0000-0000-000013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62" name="TextBox 6761">
          <a:extLst>
            <a:ext uri="{FF2B5EF4-FFF2-40B4-BE49-F238E27FC236}">
              <a16:creationId xmlns:a16="http://schemas.microsoft.com/office/drawing/2014/main" id="{00000000-0008-0000-0000-000014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63" name="TextBox 6762">
          <a:extLst>
            <a:ext uri="{FF2B5EF4-FFF2-40B4-BE49-F238E27FC236}">
              <a16:creationId xmlns:a16="http://schemas.microsoft.com/office/drawing/2014/main" id="{00000000-0008-0000-0000-000015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64" name="TextBox 6763">
          <a:extLst>
            <a:ext uri="{FF2B5EF4-FFF2-40B4-BE49-F238E27FC236}">
              <a16:creationId xmlns:a16="http://schemas.microsoft.com/office/drawing/2014/main" id="{00000000-0008-0000-0000-000016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65" name="TextBox 6764">
          <a:extLst>
            <a:ext uri="{FF2B5EF4-FFF2-40B4-BE49-F238E27FC236}">
              <a16:creationId xmlns:a16="http://schemas.microsoft.com/office/drawing/2014/main" id="{00000000-0008-0000-0000-000017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66" name="TextBox 6765">
          <a:extLst>
            <a:ext uri="{FF2B5EF4-FFF2-40B4-BE49-F238E27FC236}">
              <a16:creationId xmlns:a16="http://schemas.microsoft.com/office/drawing/2014/main" id="{00000000-0008-0000-0000-000018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67" name="TextBox 6766">
          <a:extLst>
            <a:ext uri="{FF2B5EF4-FFF2-40B4-BE49-F238E27FC236}">
              <a16:creationId xmlns:a16="http://schemas.microsoft.com/office/drawing/2014/main" id="{00000000-0008-0000-0000-000019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68" name="TextBox 6767">
          <a:extLst>
            <a:ext uri="{FF2B5EF4-FFF2-40B4-BE49-F238E27FC236}">
              <a16:creationId xmlns:a16="http://schemas.microsoft.com/office/drawing/2014/main" id="{00000000-0008-0000-0000-00001A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69" name="TextBox 6768">
          <a:extLst>
            <a:ext uri="{FF2B5EF4-FFF2-40B4-BE49-F238E27FC236}">
              <a16:creationId xmlns:a16="http://schemas.microsoft.com/office/drawing/2014/main" id="{00000000-0008-0000-0000-00001B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70" name="TextBox 6769">
          <a:extLst>
            <a:ext uri="{FF2B5EF4-FFF2-40B4-BE49-F238E27FC236}">
              <a16:creationId xmlns:a16="http://schemas.microsoft.com/office/drawing/2014/main" id="{00000000-0008-0000-0000-00001C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71" name="TextBox 6770">
          <a:extLst>
            <a:ext uri="{FF2B5EF4-FFF2-40B4-BE49-F238E27FC236}">
              <a16:creationId xmlns:a16="http://schemas.microsoft.com/office/drawing/2014/main" id="{00000000-0008-0000-0000-00001D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72" name="TextBox 6771">
          <a:extLst>
            <a:ext uri="{FF2B5EF4-FFF2-40B4-BE49-F238E27FC236}">
              <a16:creationId xmlns:a16="http://schemas.microsoft.com/office/drawing/2014/main" id="{00000000-0008-0000-0000-00001E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73" name="TextBox 6772">
          <a:extLst>
            <a:ext uri="{FF2B5EF4-FFF2-40B4-BE49-F238E27FC236}">
              <a16:creationId xmlns:a16="http://schemas.microsoft.com/office/drawing/2014/main" id="{00000000-0008-0000-0000-00001F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74" name="TextBox 6773">
          <a:extLst>
            <a:ext uri="{FF2B5EF4-FFF2-40B4-BE49-F238E27FC236}">
              <a16:creationId xmlns:a16="http://schemas.microsoft.com/office/drawing/2014/main" id="{00000000-0008-0000-0000-000020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75" name="TextBox 6774">
          <a:extLst>
            <a:ext uri="{FF2B5EF4-FFF2-40B4-BE49-F238E27FC236}">
              <a16:creationId xmlns:a16="http://schemas.microsoft.com/office/drawing/2014/main" id="{00000000-0008-0000-0000-000021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76" name="TextBox 6775">
          <a:extLst>
            <a:ext uri="{FF2B5EF4-FFF2-40B4-BE49-F238E27FC236}">
              <a16:creationId xmlns:a16="http://schemas.microsoft.com/office/drawing/2014/main" id="{00000000-0008-0000-0000-000022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77" name="TextBox 6776">
          <a:extLst>
            <a:ext uri="{FF2B5EF4-FFF2-40B4-BE49-F238E27FC236}">
              <a16:creationId xmlns:a16="http://schemas.microsoft.com/office/drawing/2014/main" id="{00000000-0008-0000-0000-000023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78" name="TextBox 6777">
          <a:extLst>
            <a:ext uri="{FF2B5EF4-FFF2-40B4-BE49-F238E27FC236}">
              <a16:creationId xmlns:a16="http://schemas.microsoft.com/office/drawing/2014/main" id="{00000000-0008-0000-0000-000024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6779" name="TextBox 6778">
          <a:extLst>
            <a:ext uri="{FF2B5EF4-FFF2-40B4-BE49-F238E27FC236}">
              <a16:creationId xmlns:a16="http://schemas.microsoft.com/office/drawing/2014/main" id="{00000000-0008-0000-0000-00002501000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6780" name="TextBox 6779">
          <a:extLst>
            <a:ext uri="{FF2B5EF4-FFF2-40B4-BE49-F238E27FC236}">
              <a16:creationId xmlns:a16="http://schemas.microsoft.com/office/drawing/2014/main" id="{00000000-0008-0000-0000-000026010000}"/>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6781" name="TextBox 6780">
          <a:extLst>
            <a:ext uri="{FF2B5EF4-FFF2-40B4-BE49-F238E27FC236}">
              <a16:creationId xmlns:a16="http://schemas.microsoft.com/office/drawing/2014/main" id="{00000000-0008-0000-0000-000027010000}"/>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6782" name="TextBox 6781">
          <a:extLst>
            <a:ext uri="{FF2B5EF4-FFF2-40B4-BE49-F238E27FC236}">
              <a16:creationId xmlns:a16="http://schemas.microsoft.com/office/drawing/2014/main" id="{00000000-0008-0000-0000-000028010000}"/>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6783" name="TextBox 6782">
          <a:extLst>
            <a:ext uri="{FF2B5EF4-FFF2-40B4-BE49-F238E27FC236}">
              <a16:creationId xmlns:a16="http://schemas.microsoft.com/office/drawing/2014/main" id="{00000000-0008-0000-0000-000029010000}"/>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6784" name="TextBox 6783">
          <a:extLst>
            <a:ext uri="{FF2B5EF4-FFF2-40B4-BE49-F238E27FC236}">
              <a16:creationId xmlns:a16="http://schemas.microsoft.com/office/drawing/2014/main" id="{00000000-0008-0000-0000-00002A010000}"/>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6785" name="TextBox 6784">
          <a:extLst>
            <a:ext uri="{FF2B5EF4-FFF2-40B4-BE49-F238E27FC236}">
              <a16:creationId xmlns:a16="http://schemas.microsoft.com/office/drawing/2014/main" id="{00000000-0008-0000-0000-00002B010000}"/>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6786" name="TextBox 6785">
          <a:extLst>
            <a:ext uri="{FF2B5EF4-FFF2-40B4-BE49-F238E27FC236}">
              <a16:creationId xmlns:a16="http://schemas.microsoft.com/office/drawing/2014/main" id="{00000000-0008-0000-0000-00002C010000}"/>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6787" name="TextBox 6786">
          <a:extLst>
            <a:ext uri="{FF2B5EF4-FFF2-40B4-BE49-F238E27FC236}">
              <a16:creationId xmlns:a16="http://schemas.microsoft.com/office/drawing/2014/main" id="{00000000-0008-0000-0000-00002D010000}"/>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788" name="TextBox 6787">
          <a:extLst>
            <a:ext uri="{FF2B5EF4-FFF2-40B4-BE49-F238E27FC236}">
              <a16:creationId xmlns:a16="http://schemas.microsoft.com/office/drawing/2014/main" id="{00000000-0008-0000-0000-00002E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789" name="TextBox 6788">
          <a:extLst>
            <a:ext uri="{FF2B5EF4-FFF2-40B4-BE49-F238E27FC236}">
              <a16:creationId xmlns:a16="http://schemas.microsoft.com/office/drawing/2014/main" id="{00000000-0008-0000-0000-00002F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790" name="TextBox 6789">
          <a:extLst>
            <a:ext uri="{FF2B5EF4-FFF2-40B4-BE49-F238E27FC236}">
              <a16:creationId xmlns:a16="http://schemas.microsoft.com/office/drawing/2014/main" id="{00000000-0008-0000-0000-000030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791" name="TextBox 6790">
          <a:extLst>
            <a:ext uri="{FF2B5EF4-FFF2-40B4-BE49-F238E27FC236}">
              <a16:creationId xmlns:a16="http://schemas.microsoft.com/office/drawing/2014/main" id="{00000000-0008-0000-0000-000031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792" name="TextBox 6791">
          <a:extLst>
            <a:ext uri="{FF2B5EF4-FFF2-40B4-BE49-F238E27FC236}">
              <a16:creationId xmlns:a16="http://schemas.microsoft.com/office/drawing/2014/main" id="{00000000-0008-0000-0000-000032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793" name="TextBox 6792">
          <a:extLst>
            <a:ext uri="{FF2B5EF4-FFF2-40B4-BE49-F238E27FC236}">
              <a16:creationId xmlns:a16="http://schemas.microsoft.com/office/drawing/2014/main" id="{00000000-0008-0000-0000-000033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794" name="TextBox 6793">
          <a:extLst>
            <a:ext uri="{FF2B5EF4-FFF2-40B4-BE49-F238E27FC236}">
              <a16:creationId xmlns:a16="http://schemas.microsoft.com/office/drawing/2014/main" id="{00000000-0008-0000-0000-000034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795" name="TextBox 6794">
          <a:extLst>
            <a:ext uri="{FF2B5EF4-FFF2-40B4-BE49-F238E27FC236}">
              <a16:creationId xmlns:a16="http://schemas.microsoft.com/office/drawing/2014/main" id="{00000000-0008-0000-0000-000035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796" name="TextBox 6795">
          <a:extLst>
            <a:ext uri="{FF2B5EF4-FFF2-40B4-BE49-F238E27FC236}">
              <a16:creationId xmlns:a16="http://schemas.microsoft.com/office/drawing/2014/main" id="{00000000-0008-0000-0000-000036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797" name="TextBox 6796">
          <a:extLst>
            <a:ext uri="{FF2B5EF4-FFF2-40B4-BE49-F238E27FC236}">
              <a16:creationId xmlns:a16="http://schemas.microsoft.com/office/drawing/2014/main" id="{00000000-0008-0000-0000-000037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798" name="TextBox 6797">
          <a:extLst>
            <a:ext uri="{FF2B5EF4-FFF2-40B4-BE49-F238E27FC236}">
              <a16:creationId xmlns:a16="http://schemas.microsoft.com/office/drawing/2014/main" id="{00000000-0008-0000-0000-000038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799" name="TextBox 6798">
          <a:extLst>
            <a:ext uri="{FF2B5EF4-FFF2-40B4-BE49-F238E27FC236}">
              <a16:creationId xmlns:a16="http://schemas.microsoft.com/office/drawing/2014/main" id="{00000000-0008-0000-0000-000039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00" name="TextBox 6799">
          <a:extLst>
            <a:ext uri="{FF2B5EF4-FFF2-40B4-BE49-F238E27FC236}">
              <a16:creationId xmlns:a16="http://schemas.microsoft.com/office/drawing/2014/main" id="{00000000-0008-0000-0000-00003A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01" name="TextBox 6800">
          <a:extLst>
            <a:ext uri="{FF2B5EF4-FFF2-40B4-BE49-F238E27FC236}">
              <a16:creationId xmlns:a16="http://schemas.microsoft.com/office/drawing/2014/main" id="{00000000-0008-0000-0000-00003B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02" name="TextBox 6801">
          <a:extLst>
            <a:ext uri="{FF2B5EF4-FFF2-40B4-BE49-F238E27FC236}">
              <a16:creationId xmlns:a16="http://schemas.microsoft.com/office/drawing/2014/main" id="{00000000-0008-0000-0000-00003C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03" name="TextBox 6802">
          <a:extLst>
            <a:ext uri="{FF2B5EF4-FFF2-40B4-BE49-F238E27FC236}">
              <a16:creationId xmlns:a16="http://schemas.microsoft.com/office/drawing/2014/main" id="{00000000-0008-0000-0000-00003D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04" name="TextBox 6803">
          <a:extLst>
            <a:ext uri="{FF2B5EF4-FFF2-40B4-BE49-F238E27FC236}">
              <a16:creationId xmlns:a16="http://schemas.microsoft.com/office/drawing/2014/main" id="{00000000-0008-0000-0000-00003E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05" name="TextBox 6804">
          <a:extLst>
            <a:ext uri="{FF2B5EF4-FFF2-40B4-BE49-F238E27FC236}">
              <a16:creationId xmlns:a16="http://schemas.microsoft.com/office/drawing/2014/main" id="{00000000-0008-0000-0000-00003F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06" name="TextBox 6805">
          <a:extLst>
            <a:ext uri="{FF2B5EF4-FFF2-40B4-BE49-F238E27FC236}">
              <a16:creationId xmlns:a16="http://schemas.microsoft.com/office/drawing/2014/main" id="{00000000-0008-0000-0000-000040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07" name="TextBox 6806">
          <a:extLst>
            <a:ext uri="{FF2B5EF4-FFF2-40B4-BE49-F238E27FC236}">
              <a16:creationId xmlns:a16="http://schemas.microsoft.com/office/drawing/2014/main" id="{00000000-0008-0000-0000-000041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08" name="TextBox 6807">
          <a:extLst>
            <a:ext uri="{FF2B5EF4-FFF2-40B4-BE49-F238E27FC236}">
              <a16:creationId xmlns:a16="http://schemas.microsoft.com/office/drawing/2014/main" id="{00000000-0008-0000-0000-000042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09" name="TextBox 6808">
          <a:extLst>
            <a:ext uri="{FF2B5EF4-FFF2-40B4-BE49-F238E27FC236}">
              <a16:creationId xmlns:a16="http://schemas.microsoft.com/office/drawing/2014/main" id="{00000000-0008-0000-0000-000043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10" name="TextBox 6809">
          <a:extLst>
            <a:ext uri="{FF2B5EF4-FFF2-40B4-BE49-F238E27FC236}">
              <a16:creationId xmlns:a16="http://schemas.microsoft.com/office/drawing/2014/main" id="{00000000-0008-0000-0000-000044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11" name="TextBox 6810">
          <a:extLst>
            <a:ext uri="{FF2B5EF4-FFF2-40B4-BE49-F238E27FC236}">
              <a16:creationId xmlns:a16="http://schemas.microsoft.com/office/drawing/2014/main" id="{00000000-0008-0000-0000-000045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12" name="TextBox 6811">
          <a:extLst>
            <a:ext uri="{FF2B5EF4-FFF2-40B4-BE49-F238E27FC236}">
              <a16:creationId xmlns:a16="http://schemas.microsoft.com/office/drawing/2014/main" id="{00000000-0008-0000-0000-000046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13" name="TextBox 6812">
          <a:extLst>
            <a:ext uri="{FF2B5EF4-FFF2-40B4-BE49-F238E27FC236}">
              <a16:creationId xmlns:a16="http://schemas.microsoft.com/office/drawing/2014/main" id="{00000000-0008-0000-0000-000047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14" name="TextBox 6813">
          <a:extLst>
            <a:ext uri="{FF2B5EF4-FFF2-40B4-BE49-F238E27FC236}">
              <a16:creationId xmlns:a16="http://schemas.microsoft.com/office/drawing/2014/main" id="{00000000-0008-0000-0000-000048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15" name="TextBox 6814">
          <a:extLst>
            <a:ext uri="{FF2B5EF4-FFF2-40B4-BE49-F238E27FC236}">
              <a16:creationId xmlns:a16="http://schemas.microsoft.com/office/drawing/2014/main" id="{00000000-0008-0000-0000-000049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16" name="TextBox 6815">
          <a:extLst>
            <a:ext uri="{FF2B5EF4-FFF2-40B4-BE49-F238E27FC236}">
              <a16:creationId xmlns:a16="http://schemas.microsoft.com/office/drawing/2014/main" id="{00000000-0008-0000-0000-00004A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17" name="TextBox 6816">
          <a:extLst>
            <a:ext uri="{FF2B5EF4-FFF2-40B4-BE49-F238E27FC236}">
              <a16:creationId xmlns:a16="http://schemas.microsoft.com/office/drawing/2014/main" id="{00000000-0008-0000-0000-00004B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18" name="TextBox 6817">
          <a:extLst>
            <a:ext uri="{FF2B5EF4-FFF2-40B4-BE49-F238E27FC236}">
              <a16:creationId xmlns:a16="http://schemas.microsoft.com/office/drawing/2014/main" id="{00000000-0008-0000-0000-00004C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19" name="TextBox 6818">
          <a:extLst>
            <a:ext uri="{FF2B5EF4-FFF2-40B4-BE49-F238E27FC236}">
              <a16:creationId xmlns:a16="http://schemas.microsoft.com/office/drawing/2014/main" id="{00000000-0008-0000-0000-00004D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20" name="TextBox 6819">
          <a:extLst>
            <a:ext uri="{FF2B5EF4-FFF2-40B4-BE49-F238E27FC236}">
              <a16:creationId xmlns:a16="http://schemas.microsoft.com/office/drawing/2014/main" id="{00000000-0008-0000-0000-00004E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21" name="TextBox 6820">
          <a:extLst>
            <a:ext uri="{FF2B5EF4-FFF2-40B4-BE49-F238E27FC236}">
              <a16:creationId xmlns:a16="http://schemas.microsoft.com/office/drawing/2014/main" id="{00000000-0008-0000-0000-00004F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22" name="TextBox 6821">
          <a:extLst>
            <a:ext uri="{FF2B5EF4-FFF2-40B4-BE49-F238E27FC236}">
              <a16:creationId xmlns:a16="http://schemas.microsoft.com/office/drawing/2014/main" id="{00000000-0008-0000-0000-000050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23" name="TextBox 6822">
          <a:extLst>
            <a:ext uri="{FF2B5EF4-FFF2-40B4-BE49-F238E27FC236}">
              <a16:creationId xmlns:a16="http://schemas.microsoft.com/office/drawing/2014/main" id="{00000000-0008-0000-0000-000051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24" name="TextBox 6823">
          <a:extLst>
            <a:ext uri="{FF2B5EF4-FFF2-40B4-BE49-F238E27FC236}">
              <a16:creationId xmlns:a16="http://schemas.microsoft.com/office/drawing/2014/main" id="{00000000-0008-0000-0000-000052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25" name="TextBox 6824">
          <a:extLst>
            <a:ext uri="{FF2B5EF4-FFF2-40B4-BE49-F238E27FC236}">
              <a16:creationId xmlns:a16="http://schemas.microsoft.com/office/drawing/2014/main" id="{00000000-0008-0000-0000-000053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26" name="TextBox 6825">
          <a:extLst>
            <a:ext uri="{FF2B5EF4-FFF2-40B4-BE49-F238E27FC236}">
              <a16:creationId xmlns:a16="http://schemas.microsoft.com/office/drawing/2014/main" id="{00000000-0008-0000-0000-000054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27" name="TextBox 6826">
          <a:extLst>
            <a:ext uri="{FF2B5EF4-FFF2-40B4-BE49-F238E27FC236}">
              <a16:creationId xmlns:a16="http://schemas.microsoft.com/office/drawing/2014/main" id="{00000000-0008-0000-0000-000055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28" name="TextBox 6827">
          <a:extLst>
            <a:ext uri="{FF2B5EF4-FFF2-40B4-BE49-F238E27FC236}">
              <a16:creationId xmlns:a16="http://schemas.microsoft.com/office/drawing/2014/main" id="{00000000-0008-0000-0000-000056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29" name="TextBox 6828">
          <a:extLst>
            <a:ext uri="{FF2B5EF4-FFF2-40B4-BE49-F238E27FC236}">
              <a16:creationId xmlns:a16="http://schemas.microsoft.com/office/drawing/2014/main" id="{00000000-0008-0000-0000-000057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30" name="TextBox 6829">
          <a:extLst>
            <a:ext uri="{FF2B5EF4-FFF2-40B4-BE49-F238E27FC236}">
              <a16:creationId xmlns:a16="http://schemas.microsoft.com/office/drawing/2014/main" id="{00000000-0008-0000-0000-000058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31" name="TextBox 6830">
          <a:extLst>
            <a:ext uri="{FF2B5EF4-FFF2-40B4-BE49-F238E27FC236}">
              <a16:creationId xmlns:a16="http://schemas.microsoft.com/office/drawing/2014/main" id="{00000000-0008-0000-0000-000059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32" name="TextBox 6831">
          <a:extLst>
            <a:ext uri="{FF2B5EF4-FFF2-40B4-BE49-F238E27FC236}">
              <a16:creationId xmlns:a16="http://schemas.microsoft.com/office/drawing/2014/main" id="{00000000-0008-0000-0000-00005A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33" name="TextBox 6832">
          <a:extLst>
            <a:ext uri="{FF2B5EF4-FFF2-40B4-BE49-F238E27FC236}">
              <a16:creationId xmlns:a16="http://schemas.microsoft.com/office/drawing/2014/main" id="{00000000-0008-0000-0000-00005B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34" name="TextBox 6833">
          <a:extLst>
            <a:ext uri="{FF2B5EF4-FFF2-40B4-BE49-F238E27FC236}">
              <a16:creationId xmlns:a16="http://schemas.microsoft.com/office/drawing/2014/main" id="{00000000-0008-0000-0000-00005C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35" name="TextBox 6834">
          <a:extLst>
            <a:ext uri="{FF2B5EF4-FFF2-40B4-BE49-F238E27FC236}">
              <a16:creationId xmlns:a16="http://schemas.microsoft.com/office/drawing/2014/main" id="{00000000-0008-0000-0000-00005D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36" name="TextBox 6835">
          <a:extLst>
            <a:ext uri="{FF2B5EF4-FFF2-40B4-BE49-F238E27FC236}">
              <a16:creationId xmlns:a16="http://schemas.microsoft.com/office/drawing/2014/main" id="{00000000-0008-0000-0000-00005E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37" name="TextBox 6836">
          <a:extLst>
            <a:ext uri="{FF2B5EF4-FFF2-40B4-BE49-F238E27FC236}">
              <a16:creationId xmlns:a16="http://schemas.microsoft.com/office/drawing/2014/main" id="{00000000-0008-0000-0000-00005F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38" name="TextBox 6837">
          <a:extLst>
            <a:ext uri="{FF2B5EF4-FFF2-40B4-BE49-F238E27FC236}">
              <a16:creationId xmlns:a16="http://schemas.microsoft.com/office/drawing/2014/main" id="{00000000-0008-0000-0000-000060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39" name="TextBox 6838">
          <a:extLst>
            <a:ext uri="{FF2B5EF4-FFF2-40B4-BE49-F238E27FC236}">
              <a16:creationId xmlns:a16="http://schemas.microsoft.com/office/drawing/2014/main" id="{00000000-0008-0000-0000-000061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40" name="TextBox 6839">
          <a:extLst>
            <a:ext uri="{FF2B5EF4-FFF2-40B4-BE49-F238E27FC236}">
              <a16:creationId xmlns:a16="http://schemas.microsoft.com/office/drawing/2014/main" id="{00000000-0008-0000-0000-000062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41" name="TextBox 6840">
          <a:extLst>
            <a:ext uri="{FF2B5EF4-FFF2-40B4-BE49-F238E27FC236}">
              <a16:creationId xmlns:a16="http://schemas.microsoft.com/office/drawing/2014/main" id="{00000000-0008-0000-0000-000063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42" name="TextBox 6841">
          <a:extLst>
            <a:ext uri="{FF2B5EF4-FFF2-40B4-BE49-F238E27FC236}">
              <a16:creationId xmlns:a16="http://schemas.microsoft.com/office/drawing/2014/main" id="{00000000-0008-0000-0000-000064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843" name="TextBox 6842">
          <a:extLst>
            <a:ext uri="{FF2B5EF4-FFF2-40B4-BE49-F238E27FC236}">
              <a16:creationId xmlns:a16="http://schemas.microsoft.com/office/drawing/2014/main" id="{00000000-0008-0000-0000-000065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6844" name="TextBox 6843">
          <a:extLst>
            <a:ext uri="{FF2B5EF4-FFF2-40B4-BE49-F238E27FC236}">
              <a16:creationId xmlns:a16="http://schemas.microsoft.com/office/drawing/2014/main" id="{00000000-0008-0000-0000-000066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6845" name="TextBox 6844">
          <a:extLst>
            <a:ext uri="{FF2B5EF4-FFF2-40B4-BE49-F238E27FC236}">
              <a16:creationId xmlns:a16="http://schemas.microsoft.com/office/drawing/2014/main" id="{00000000-0008-0000-0000-000067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6846" name="TextBox 6845">
          <a:extLst>
            <a:ext uri="{FF2B5EF4-FFF2-40B4-BE49-F238E27FC236}">
              <a16:creationId xmlns:a16="http://schemas.microsoft.com/office/drawing/2014/main" id="{00000000-0008-0000-0000-000068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6847" name="TextBox 6846">
          <a:extLst>
            <a:ext uri="{FF2B5EF4-FFF2-40B4-BE49-F238E27FC236}">
              <a16:creationId xmlns:a16="http://schemas.microsoft.com/office/drawing/2014/main" id="{00000000-0008-0000-0000-000069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6848" name="TextBox 6847">
          <a:extLst>
            <a:ext uri="{FF2B5EF4-FFF2-40B4-BE49-F238E27FC236}">
              <a16:creationId xmlns:a16="http://schemas.microsoft.com/office/drawing/2014/main" id="{00000000-0008-0000-0000-00006A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6849" name="TextBox 6848">
          <a:extLst>
            <a:ext uri="{FF2B5EF4-FFF2-40B4-BE49-F238E27FC236}">
              <a16:creationId xmlns:a16="http://schemas.microsoft.com/office/drawing/2014/main" id="{00000000-0008-0000-0000-00006B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6850" name="TextBox 6849">
          <a:extLst>
            <a:ext uri="{FF2B5EF4-FFF2-40B4-BE49-F238E27FC236}">
              <a16:creationId xmlns:a16="http://schemas.microsoft.com/office/drawing/2014/main" id="{00000000-0008-0000-0000-00006C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6851" name="TextBox 6850">
          <a:extLst>
            <a:ext uri="{FF2B5EF4-FFF2-40B4-BE49-F238E27FC236}">
              <a16:creationId xmlns:a16="http://schemas.microsoft.com/office/drawing/2014/main" id="{00000000-0008-0000-0000-00006D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52" name="TextBox 6851">
          <a:extLst>
            <a:ext uri="{FF2B5EF4-FFF2-40B4-BE49-F238E27FC236}">
              <a16:creationId xmlns:a16="http://schemas.microsoft.com/office/drawing/2014/main" id="{00000000-0008-0000-0000-00006E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53" name="TextBox 6852">
          <a:extLst>
            <a:ext uri="{FF2B5EF4-FFF2-40B4-BE49-F238E27FC236}">
              <a16:creationId xmlns:a16="http://schemas.microsoft.com/office/drawing/2014/main" id="{00000000-0008-0000-0000-00006F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54" name="TextBox 6853">
          <a:extLst>
            <a:ext uri="{FF2B5EF4-FFF2-40B4-BE49-F238E27FC236}">
              <a16:creationId xmlns:a16="http://schemas.microsoft.com/office/drawing/2014/main" id="{00000000-0008-0000-0000-000070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55" name="TextBox 6854">
          <a:extLst>
            <a:ext uri="{FF2B5EF4-FFF2-40B4-BE49-F238E27FC236}">
              <a16:creationId xmlns:a16="http://schemas.microsoft.com/office/drawing/2014/main" id="{00000000-0008-0000-0000-000071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56" name="TextBox 6855">
          <a:extLst>
            <a:ext uri="{FF2B5EF4-FFF2-40B4-BE49-F238E27FC236}">
              <a16:creationId xmlns:a16="http://schemas.microsoft.com/office/drawing/2014/main" id="{00000000-0008-0000-0000-000072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57" name="TextBox 6856">
          <a:extLst>
            <a:ext uri="{FF2B5EF4-FFF2-40B4-BE49-F238E27FC236}">
              <a16:creationId xmlns:a16="http://schemas.microsoft.com/office/drawing/2014/main" id="{00000000-0008-0000-0000-000073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58" name="TextBox 6857">
          <a:extLst>
            <a:ext uri="{FF2B5EF4-FFF2-40B4-BE49-F238E27FC236}">
              <a16:creationId xmlns:a16="http://schemas.microsoft.com/office/drawing/2014/main" id="{00000000-0008-0000-0000-000074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59" name="TextBox 6858">
          <a:extLst>
            <a:ext uri="{FF2B5EF4-FFF2-40B4-BE49-F238E27FC236}">
              <a16:creationId xmlns:a16="http://schemas.microsoft.com/office/drawing/2014/main" id="{00000000-0008-0000-0000-000075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60" name="TextBox 6859">
          <a:extLst>
            <a:ext uri="{FF2B5EF4-FFF2-40B4-BE49-F238E27FC236}">
              <a16:creationId xmlns:a16="http://schemas.microsoft.com/office/drawing/2014/main" id="{00000000-0008-0000-0000-000076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61" name="TextBox 6860">
          <a:extLst>
            <a:ext uri="{FF2B5EF4-FFF2-40B4-BE49-F238E27FC236}">
              <a16:creationId xmlns:a16="http://schemas.microsoft.com/office/drawing/2014/main" id="{00000000-0008-0000-0000-000077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62" name="TextBox 6861">
          <a:extLst>
            <a:ext uri="{FF2B5EF4-FFF2-40B4-BE49-F238E27FC236}">
              <a16:creationId xmlns:a16="http://schemas.microsoft.com/office/drawing/2014/main" id="{00000000-0008-0000-0000-000078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63" name="TextBox 6862">
          <a:extLst>
            <a:ext uri="{FF2B5EF4-FFF2-40B4-BE49-F238E27FC236}">
              <a16:creationId xmlns:a16="http://schemas.microsoft.com/office/drawing/2014/main" id="{00000000-0008-0000-0000-000079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64" name="TextBox 6863">
          <a:extLst>
            <a:ext uri="{FF2B5EF4-FFF2-40B4-BE49-F238E27FC236}">
              <a16:creationId xmlns:a16="http://schemas.microsoft.com/office/drawing/2014/main" id="{00000000-0008-0000-0000-00007A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65" name="TextBox 6864">
          <a:extLst>
            <a:ext uri="{FF2B5EF4-FFF2-40B4-BE49-F238E27FC236}">
              <a16:creationId xmlns:a16="http://schemas.microsoft.com/office/drawing/2014/main" id="{00000000-0008-0000-0000-00007B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66" name="TextBox 6865">
          <a:extLst>
            <a:ext uri="{FF2B5EF4-FFF2-40B4-BE49-F238E27FC236}">
              <a16:creationId xmlns:a16="http://schemas.microsoft.com/office/drawing/2014/main" id="{00000000-0008-0000-0000-00007C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67" name="TextBox 6866">
          <a:extLst>
            <a:ext uri="{FF2B5EF4-FFF2-40B4-BE49-F238E27FC236}">
              <a16:creationId xmlns:a16="http://schemas.microsoft.com/office/drawing/2014/main" id="{00000000-0008-0000-0000-00007D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68" name="TextBox 6867">
          <a:extLst>
            <a:ext uri="{FF2B5EF4-FFF2-40B4-BE49-F238E27FC236}">
              <a16:creationId xmlns:a16="http://schemas.microsoft.com/office/drawing/2014/main" id="{00000000-0008-0000-0000-00007E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69" name="TextBox 6868">
          <a:extLst>
            <a:ext uri="{FF2B5EF4-FFF2-40B4-BE49-F238E27FC236}">
              <a16:creationId xmlns:a16="http://schemas.microsoft.com/office/drawing/2014/main" id="{00000000-0008-0000-0000-00007F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70" name="TextBox 6869">
          <a:extLst>
            <a:ext uri="{FF2B5EF4-FFF2-40B4-BE49-F238E27FC236}">
              <a16:creationId xmlns:a16="http://schemas.microsoft.com/office/drawing/2014/main" id="{00000000-0008-0000-0000-000080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71" name="TextBox 6870">
          <a:extLst>
            <a:ext uri="{FF2B5EF4-FFF2-40B4-BE49-F238E27FC236}">
              <a16:creationId xmlns:a16="http://schemas.microsoft.com/office/drawing/2014/main" id="{00000000-0008-0000-0000-000081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72" name="TextBox 6871">
          <a:extLst>
            <a:ext uri="{FF2B5EF4-FFF2-40B4-BE49-F238E27FC236}">
              <a16:creationId xmlns:a16="http://schemas.microsoft.com/office/drawing/2014/main" id="{00000000-0008-0000-0000-000082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73" name="TextBox 6872">
          <a:extLst>
            <a:ext uri="{FF2B5EF4-FFF2-40B4-BE49-F238E27FC236}">
              <a16:creationId xmlns:a16="http://schemas.microsoft.com/office/drawing/2014/main" id="{00000000-0008-0000-0000-000083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74" name="TextBox 6873">
          <a:extLst>
            <a:ext uri="{FF2B5EF4-FFF2-40B4-BE49-F238E27FC236}">
              <a16:creationId xmlns:a16="http://schemas.microsoft.com/office/drawing/2014/main" id="{00000000-0008-0000-0000-000084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75" name="TextBox 6874">
          <a:extLst>
            <a:ext uri="{FF2B5EF4-FFF2-40B4-BE49-F238E27FC236}">
              <a16:creationId xmlns:a16="http://schemas.microsoft.com/office/drawing/2014/main" id="{00000000-0008-0000-0000-000085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76" name="TextBox 6875">
          <a:extLst>
            <a:ext uri="{FF2B5EF4-FFF2-40B4-BE49-F238E27FC236}">
              <a16:creationId xmlns:a16="http://schemas.microsoft.com/office/drawing/2014/main" id="{00000000-0008-0000-0000-000086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77" name="TextBox 6876">
          <a:extLst>
            <a:ext uri="{FF2B5EF4-FFF2-40B4-BE49-F238E27FC236}">
              <a16:creationId xmlns:a16="http://schemas.microsoft.com/office/drawing/2014/main" id="{00000000-0008-0000-0000-000087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78" name="TextBox 6877">
          <a:extLst>
            <a:ext uri="{FF2B5EF4-FFF2-40B4-BE49-F238E27FC236}">
              <a16:creationId xmlns:a16="http://schemas.microsoft.com/office/drawing/2014/main" id="{00000000-0008-0000-0000-000088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79" name="TextBox 6878">
          <a:extLst>
            <a:ext uri="{FF2B5EF4-FFF2-40B4-BE49-F238E27FC236}">
              <a16:creationId xmlns:a16="http://schemas.microsoft.com/office/drawing/2014/main" id="{00000000-0008-0000-0000-000089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80" name="TextBox 6879">
          <a:extLst>
            <a:ext uri="{FF2B5EF4-FFF2-40B4-BE49-F238E27FC236}">
              <a16:creationId xmlns:a16="http://schemas.microsoft.com/office/drawing/2014/main" id="{00000000-0008-0000-0000-00008A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81" name="TextBox 6880">
          <a:extLst>
            <a:ext uri="{FF2B5EF4-FFF2-40B4-BE49-F238E27FC236}">
              <a16:creationId xmlns:a16="http://schemas.microsoft.com/office/drawing/2014/main" id="{00000000-0008-0000-0000-00008B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82" name="TextBox 6881">
          <a:extLst>
            <a:ext uri="{FF2B5EF4-FFF2-40B4-BE49-F238E27FC236}">
              <a16:creationId xmlns:a16="http://schemas.microsoft.com/office/drawing/2014/main" id="{00000000-0008-0000-0000-00008C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83" name="TextBox 6882">
          <a:extLst>
            <a:ext uri="{FF2B5EF4-FFF2-40B4-BE49-F238E27FC236}">
              <a16:creationId xmlns:a16="http://schemas.microsoft.com/office/drawing/2014/main" id="{00000000-0008-0000-0000-00008D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84" name="TextBox 6883">
          <a:extLst>
            <a:ext uri="{FF2B5EF4-FFF2-40B4-BE49-F238E27FC236}">
              <a16:creationId xmlns:a16="http://schemas.microsoft.com/office/drawing/2014/main" id="{00000000-0008-0000-0000-00008E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85" name="TextBox 6884">
          <a:extLst>
            <a:ext uri="{FF2B5EF4-FFF2-40B4-BE49-F238E27FC236}">
              <a16:creationId xmlns:a16="http://schemas.microsoft.com/office/drawing/2014/main" id="{00000000-0008-0000-0000-00008F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86" name="TextBox 6885">
          <a:extLst>
            <a:ext uri="{FF2B5EF4-FFF2-40B4-BE49-F238E27FC236}">
              <a16:creationId xmlns:a16="http://schemas.microsoft.com/office/drawing/2014/main" id="{00000000-0008-0000-0000-000090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87" name="TextBox 6886">
          <a:extLst>
            <a:ext uri="{FF2B5EF4-FFF2-40B4-BE49-F238E27FC236}">
              <a16:creationId xmlns:a16="http://schemas.microsoft.com/office/drawing/2014/main" id="{00000000-0008-0000-0000-000091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88" name="TextBox 6887">
          <a:extLst>
            <a:ext uri="{FF2B5EF4-FFF2-40B4-BE49-F238E27FC236}">
              <a16:creationId xmlns:a16="http://schemas.microsoft.com/office/drawing/2014/main" id="{00000000-0008-0000-0000-000092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89" name="TextBox 6888">
          <a:extLst>
            <a:ext uri="{FF2B5EF4-FFF2-40B4-BE49-F238E27FC236}">
              <a16:creationId xmlns:a16="http://schemas.microsoft.com/office/drawing/2014/main" id="{00000000-0008-0000-0000-000093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90" name="TextBox 6889">
          <a:extLst>
            <a:ext uri="{FF2B5EF4-FFF2-40B4-BE49-F238E27FC236}">
              <a16:creationId xmlns:a16="http://schemas.microsoft.com/office/drawing/2014/main" id="{00000000-0008-0000-0000-000094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91" name="TextBox 6890">
          <a:extLst>
            <a:ext uri="{FF2B5EF4-FFF2-40B4-BE49-F238E27FC236}">
              <a16:creationId xmlns:a16="http://schemas.microsoft.com/office/drawing/2014/main" id="{00000000-0008-0000-0000-000095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92" name="TextBox 6891">
          <a:extLst>
            <a:ext uri="{FF2B5EF4-FFF2-40B4-BE49-F238E27FC236}">
              <a16:creationId xmlns:a16="http://schemas.microsoft.com/office/drawing/2014/main" id="{00000000-0008-0000-0000-000096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93" name="TextBox 6892">
          <a:extLst>
            <a:ext uri="{FF2B5EF4-FFF2-40B4-BE49-F238E27FC236}">
              <a16:creationId xmlns:a16="http://schemas.microsoft.com/office/drawing/2014/main" id="{00000000-0008-0000-0000-000097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94" name="TextBox 6893">
          <a:extLst>
            <a:ext uri="{FF2B5EF4-FFF2-40B4-BE49-F238E27FC236}">
              <a16:creationId xmlns:a16="http://schemas.microsoft.com/office/drawing/2014/main" id="{00000000-0008-0000-0000-000098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95" name="TextBox 6894">
          <a:extLst>
            <a:ext uri="{FF2B5EF4-FFF2-40B4-BE49-F238E27FC236}">
              <a16:creationId xmlns:a16="http://schemas.microsoft.com/office/drawing/2014/main" id="{00000000-0008-0000-0000-000099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96" name="TextBox 6895">
          <a:extLst>
            <a:ext uri="{FF2B5EF4-FFF2-40B4-BE49-F238E27FC236}">
              <a16:creationId xmlns:a16="http://schemas.microsoft.com/office/drawing/2014/main" id="{00000000-0008-0000-0000-00009A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97" name="TextBox 6896">
          <a:extLst>
            <a:ext uri="{FF2B5EF4-FFF2-40B4-BE49-F238E27FC236}">
              <a16:creationId xmlns:a16="http://schemas.microsoft.com/office/drawing/2014/main" id="{00000000-0008-0000-0000-00009B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98" name="TextBox 6897">
          <a:extLst>
            <a:ext uri="{FF2B5EF4-FFF2-40B4-BE49-F238E27FC236}">
              <a16:creationId xmlns:a16="http://schemas.microsoft.com/office/drawing/2014/main" id="{00000000-0008-0000-0000-00009C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899" name="TextBox 6898">
          <a:extLst>
            <a:ext uri="{FF2B5EF4-FFF2-40B4-BE49-F238E27FC236}">
              <a16:creationId xmlns:a16="http://schemas.microsoft.com/office/drawing/2014/main" id="{00000000-0008-0000-0000-00009D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900" name="TextBox 6899">
          <a:extLst>
            <a:ext uri="{FF2B5EF4-FFF2-40B4-BE49-F238E27FC236}">
              <a16:creationId xmlns:a16="http://schemas.microsoft.com/office/drawing/2014/main" id="{00000000-0008-0000-0000-00009E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901" name="TextBox 6900">
          <a:extLst>
            <a:ext uri="{FF2B5EF4-FFF2-40B4-BE49-F238E27FC236}">
              <a16:creationId xmlns:a16="http://schemas.microsoft.com/office/drawing/2014/main" id="{00000000-0008-0000-0000-00009F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902" name="TextBox 6901">
          <a:extLst>
            <a:ext uri="{FF2B5EF4-FFF2-40B4-BE49-F238E27FC236}">
              <a16:creationId xmlns:a16="http://schemas.microsoft.com/office/drawing/2014/main" id="{00000000-0008-0000-0000-0000A0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903" name="TextBox 6902">
          <a:extLst>
            <a:ext uri="{FF2B5EF4-FFF2-40B4-BE49-F238E27FC236}">
              <a16:creationId xmlns:a16="http://schemas.microsoft.com/office/drawing/2014/main" id="{00000000-0008-0000-0000-0000A1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904" name="TextBox 6903">
          <a:extLst>
            <a:ext uri="{FF2B5EF4-FFF2-40B4-BE49-F238E27FC236}">
              <a16:creationId xmlns:a16="http://schemas.microsoft.com/office/drawing/2014/main" id="{00000000-0008-0000-0000-0000A2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905" name="TextBox 6904">
          <a:extLst>
            <a:ext uri="{FF2B5EF4-FFF2-40B4-BE49-F238E27FC236}">
              <a16:creationId xmlns:a16="http://schemas.microsoft.com/office/drawing/2014/main" id="{00000000-0008-0000-0000-0000A3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906" name="TextBox 6905">
          <a:extLst>
            <a:ext uri="{FF2B5EF4-FFF2-40B4-BE49-F238E27FC236}">
              <a16:creationId xmlns:a16="http://schemas.microsoft.com/office/drawing/2014/main" id="{00000000-0008-0000-0000-0000A4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907" name="TextBox 6906">
          <a:extLst>
            <a:ext uri="{FF2B5EF4-FFF2-40B4-BE49-F238E27FC236}">
              <a16:creationId xmlns:a16="http://schemas.microsoft.com/office/drawing/2014/main" id="{00000000-0008-0000-0000-0000A5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908" name="TextBox 6907">
          <a:extLst>
            <a:ext uri="{FF2B5EF4-FFF2-40B4-BE49-F238E27FC236}">
              <a16:creationId xmlns:a16="http://schemas.microsoft.com/office/drawing/2014/main" id="{00000000-0008-0000-0000-0000A6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171</xdr:row>
      <xdr:rowOff>0</xdr:rowOff>
    </xdr:from>
    <xdr:ext cx="65" cy="172227"/>
    <xdr:sp macro="" textlink="">
      <xdr:nvSpPr>
        <xdr:cNvPr id="6909" name="TextBox 6908">
          <a:extLst>
            <a:ext uri="{FF2B5EF4-FFF2-40B4-BE49-F238E27FC236}">
              <a16:creationId xmlns:a16="http://schemas.microsoft.com/office/drawing/2014/main" id="{00000000-0008-0000-0000-0000A7010000}"/>
            </a:ext>
          </a:extLst>
        </xdr:cNvPr>
        <xdr:cNvSpPr txBox="1"/>
      </xdr:nvSpPr>
      <xdr:spPr>
        <a:xfrm>
          <a:off x="826770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171</xdr:row>
      <xdr:rowOff>0</xdr:rowOff>
    </xdr:from>
    <xdr:ext cx="65" cy="172227"/>
    <xdr:sp macro="" textlink="">
      <xdr:nvSpPr>
        <xdr:cNvPr id="6910" name="TextBox 6909">
          <a:extLst>
            <a:ext uri="{FF2B5EF4-FFF2-40B4-BE49-F238E27FC236}">
              <a16:creationId xmlns:a16="http://schemas.microsoft.com/office/drawing/2014/main" id="{00000000-0008-0000-0000-0000A8010000}"/>
            </a:ext>
          </a:extLst>
        </xdr:cNvPr>
        <xdr:cNvSpPr txBox="1"/>
      </xdr:nvSpPr>
      <xdr:spPr>
        <a:xfrm>
          <a:off x="1258062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171</xdr:row>
      <xdr:rowOff>0</xdr:rowOff>
    </xdr:from>
    <xdr:ext cx="65" cy="172227"/>
    <xdr:sp macro="" textlink="">
      <xdr:nvSpPr>
        <xdr:cNvPr id="6911" name="TextBox 6910">
          <a:extLst>
            <a:ext uri="{FF2B5EF4-FFF2-40B4-BE49-F238E27FC236}">
              <a16:creationId xmlns:a16="http://schemas.microsoft.com/office/drawing/2014/main" id="{00000000-0008-0000-0000-0000A9010000}"/>
            </a:ext>
          </a:extLst>
        </xdr:cNvPr>
        <xdr:cNvSpPr txBox="1"/>
      </xdr:nvSpPr>
      <xdr:spPr>
        <a:xfrm>
          <a:off x="1258062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171</xdr:row>
      <xdr:rowOff>0</xdr:rowOff>
    </xdr:from>
    <xdr:ext cx="65" cy="172227"/>
    <xdr:sp macro="" textlink="">
      <xdr:nvSpPr>
        <xdr:cNvPr id="6912" name="TextBox 6911">
          <a:extLst>
            <a:ext uri="{FF2B5EF4-FFF2-40B4-BE49-F238E27FC236}">
              <a16:creationId xmlns:a16="http://schemas.microsoft.com/office/drawing/2014/main" id="{00000000-0008-0000-0000-0000AA010000}"/>
            </a:ext>
          </a:extLst>
        </xdr:cNvPr>
        <xdr:cNvSpPr txBox="1"/>
      </xdr:nvSpPr>
      <xdr:spPr>
        <a:xfrm>
          <a:off x="1258062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171</xdr:row>
      <xdr:rowOff>0</xdr:rowOff>
    </xdr:from>
    <xdr:ext cx="65" cy="172227"/>
    <xdr:sp macro="" textlink="">
      <xdr:nvSpPr>
        <xdr:cNvPr id="6913" name="TextBox 6912">
          <a:extLst>
            <a:ext uri="{FF2B5EF4-FFF2-40B4-BE49-F238E27FC236}">
              <a16:creationId xmlns:a16="http://schemas.microsoft.com/office/drawing/2014/main" id="{00000000-0008-0000-0000-0000AB010000}"/>
            </a:ext>
          </a:extLst>
        </xdr:cNvPr>
        <xdr:cNvSpPr txBox="1"/>
      </xdr:nvSpPr>
      <xdr:spPr>
        <a:xfrm>
          <a:off x="1258062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171</xdr:row>
      <xdr:rowOff>0</xdr:rowOff>
    </xdr:from>
    <xdr:ext cx="65" cy="172227"/>
    <xdr:sp macro="" textlink="">
      <xdr:nvSpPr>
        <xdr:cNvPr id="6914" name="TextBox 6913">
          <a:extLst>
            <a:ext uri="{FF2B5EF4-FFF2-40B4-BE49-F238E27FC236}">
              <a16:creationId xmlns:a16="http://schemas.microsoft.com/office/drawing/2014/main" id="{00000000-0008-0000-0000-0000AC010000}"/>
            </a:ext>
          </a:extLst>
        </xdr:cNvPr>
        <xdr:cNvSpPr txBox="1"/>
      </xdr:nvSpPr>
      <xdr:spPr>
        <a:xfrm>
          <a:off x="1258062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171</xdr:row>
      <xdr:rowOff>0</xdr:rowOff>
    </xdr:from>
    <xdr:ext cx="65" cy="172227"/>
    <xdr:sp macro="" textlink="">
      <xdr:nvSpPr>
        <xdr:cNvPr id="6915" name="TextBox 6914">
          <a:extLst>
            <a:ext uri="{FF2B5EF4-FFF2-40B4-BE49-F238E27FC236}">
              <a16:creationId xmlns:a16="http://schemas.microsoft.com/office/drawing/2014/main" id="{00000000-0008-0000-0000-0000AD010000}"/>
            </a:ext>
          </a:extLst>
        </xdr:cNvPr>
        <xdr:cNvSpPr txBox="1"/>
      </xdr:nvSpPr>
      <xdr:spPr>
        <a:xfrm>
          <a:off x="1258062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171</xdr:row>
      <xdr:rowOff>0</xdr:rowOff>
    </xdr:from>
    <xdr:ext cx="65" cy="172227"/>
    <xdr:sp macro="" textlink="">
      <xdr:nvSpPr>
        <xdr:cNvPr id="6916" name="TextBox 6915">
          <a:extLst>
            <a:ext uri="{FF2B5EF4-FFF2-40B4-BE49-F238E27FC236}">
              <a16:creationId xmlns:a16="http://schemas.microsoft.com/office/drawing/2014/main" id="{00000000-0008-0000-0000-0000AE010000}"/>
            </a:ext>
          </a:extLst>
        </xdr:cNvPr>
        <xdr:cNvSpPr txBox="1"/>
      </xdr:nvSpPr>
      <xdr:spPr>
        <a:xfrm>
          <a:off x="1258062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171</xdr:row>
      <xdr:rowOff>0</xdr:rowOff>
    </xdr:from>
    <xdr:ext cx="65" cy="172227"/>
    <xdr:sp macro="" textlink="">
      <xdr:nvSpPr>
        <xdr:cNvPr id="6917" name="TextBox 6916">
          <a:extLst>
            <a:ext uri="{FF2B5EF4-FFF2-40B4-BE49-F238E27FC236}">
              <a16:creationId xmlns:a16="http://schemas.microsoft.com/office/drawing/2014/main" id="{00000000-0008-0000-0000-0000AF010000}"/>
            </a:ext>
          </a:extLst>
        </xdr:cNvPr>
        <xdr:cNvSpPr txBox="1"/>
      </xdr:nvSpPr>
      <xdr:spPr>
        <a:xfrm>
          <a:off x="12580620" y="367817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6918" name="TextBox 6917">
          <a:extLst>
            <a:ext uri="{FF2B5EF4-FFF2-40B4-BE49-F238E27FC236}">
              <a16:creationId xmlns:a16="http://schemas.microsoft.com/office/drawing/2014/main" id="{00000000-0008-0000-0000-0000B001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165</xdr:row>
      <xdr:rowOff>0</xdr:rowOff>
    </xdr:from>
    <xdr:ext cx="65" cy="172227"/>
    <xdr:sp macro="" textlink="">
      <xdr:nvSpPr>
        <xdr:cNvPr id="6919" name="TextBox 6918">
          <a:extLst>
            <a:ext uri="{FF2B5EF4-FFF2-40B4-BE49-F238E27FC236}">
              <a16:creationId xmlns:a16="http://schemas.microsoft.com/office/drawing/2014/main" id="{00000000-0008-0000-0000-0000B1010000}"/>
            </a:ext>
          </a:extLst>
        </xdr:cNvPr>
        <xdr:cNvSpPr txBox="1"/>
      </xdr:nvSpPr>
      <xdr:spPr>
        <a:xfrm>
          <a:off x="826770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6920" name="TextBox 6919">
          <a:extLst>
            <a:ext uri="{FF2B5EF4-FFF2-40B4-BE49-F238E27FC236}">
              <a16:creationId xmlns:a16="http://schemas.microsoft.com/office/drawing/2014/main" id="{00000000-0008-0000-0000-0000B201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6921" name="TextBox 6920">
          <a:extLst>
            <a:ext uri="{FF2B5EF4-FFF2-40B4-BE49-F238E27FC236}">
              <a16:creationId xmlns:a16="http://schemas.microsoft.com/office/drawing/2014/main" id="{00000000-0008-0000-0000-0000B301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6922" name="TextBox 6921">
          <a:extLst>
            <a:ext uri="{FF2B5EF4-FFF2-40B4-BE49-F238E27FC236}">
              <a16:creationId xmlns:a16="http://schemas.microsoft.com/office/drawing/2014/main" id="{00000000-0008-0000-0000-0000B401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6923" name="TextBox 6922">
          <a:extLst>
            <a:ext uri="{FF2B5EF4-FFF2-40B4-BE49-F238E27FC236}">
              <a16:creationId xmlns:a16="http://schemas.microsoft.com/office/drawing/2014/main" id="{00000000-0008-0000-0000-0000B501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6924" name="TextBox 6923">
          <a:extLst>
            <a:ext uri="{FF2B5EF4-FFF2-40B4-BE49-F238E27FC236}">
              <a16:creationId xmlns:a16="http://schemas.microsoft.com/office/drawing/2014/main" id="{00000000-0008-0000-0000-0000B601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6925" name="TextBox 6924">
          <a:extLst>
            <a:ext uri="{FF2B5EF4-FFF2-40B4-BE49-F238E27FC236}">
              <a16:creationId xmlns:a16="http://schemas.microsoft.com/office/drawing/2014/main" id="{00000000-0008-0000-0000-0000B701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6926" name="TextBox 6925">
          <a:extLst>
            <a:ext uri="{FF2B5EF4-FFF2-40B4-BE49-F238E27FC236}">
              <a16:creationId xmlns:a16="http://schemas.microsoft.com/office/drawing/2014/main" id="{00000000-0008-0000-0000-0000B801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6927" name="TextBox 6926">
          <a:extLst>
            <a:ext uri="{FF2B5EF4-FFF2-40B4-BE49-F238E27FC236}">
              <a16:creationId xmlns:a16="http://schemas.microsoft.com/office/drawing/2014/main" id="{00000000-0008-0000-0000-0000B901000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28" name="TextBox 6927">
          <a:extLst>
            <a:ext uri="{FF2B5EF4-FFF2-40B4-BE49-F238E27FC236}">
              <a16:creationId xmlns:a16="http://schemas.microsoft.com/office/drawing/2014/main" id="{00000000-0008-0000-0000-0000BA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29" name="TextBox 6928">
          <a:extLst>
            <a:ext uri="{FF2B5EF4-FFF2-40B4-BE49-F238E27FC236}">
              <a16:creationId xmlns:a16="http://schemas.microsoft.com/office/drawing/2014/main" id="{00000000-0008-0000-0000-0000BB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30" name="TextBox 6929">
          <a:extLst>
            <a:ext uri="{FF2B5EF4-FFF2-40B4-BE49-F238E27FC236}">
              <a16:creationId xmlns:a16="http://schemas.microsoft.com/office/drawing/2014/main" id="{00000000-0008-0000-0000-0000BC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31" name="TextBox 6930">
          <a:extLst>
            <a:ext uri="{FF2B5EF4-FFF2-40B4-BE49-F238E27FC236}">
              <a16:creationId xmlns:a16="http://schemas.microsoft.com/office/drawing/2014/main" id="{00000000-0008-0000-0000-0000BD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32" name="TextBox 6931">
          <a:extLst>
            <a:ext uri="{FF2B5EF4-FFF2-40B4-BE49-F238E27FC236}">
              <a16:creationId xmlns:a16="http://schemas.microsoft.com/office/drawing/2014/main" id="{00000000-0008-0000-0000-0000BE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33" name="TextBox 6932">
          <a:extLst>
            <a:ext uri="{FF2B5EF4-FFF2-40B4-BE49-F238E27FC236}">
              <a16:creationId xmlns:a16="http://schemas.microsoft.com/office/drawing/2014/main" id="{00000000-0008-0000-0000-0000BF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34" name="TextBox 6933">
          <a:extLst>
            <a:ext uri="{FF2B5EF4-FFF2-40B4-BE49-F238E27FC236}">
              <a16:creationId xmlns:a16="http://schemas.microsoft.com/office/drawing/2014/main" id="{00000000-0008-0000-0000-0000C0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35" name="TextBox 6934">
          <a:extLst>
            <a:ext uri="{FF2B5EF4-FFF2-40B4-BE49-F238E27FC236}">
              <a16:creationId xmlns:a16="http://schemas.microsoft.com/office/drawing/2014/main" id="{00000000-0008-0000-0000-0000C1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36" name="TextBox 6935">
          <a:extLst>
            <a:ext uri="{FF2B5EF4-FFF2-40B4-BE49-F238E27FC236}">
              <a16:creationId xmlns:a16="http://schemas.microsoft.com/office/drawing/2014/main" id="{00000000-0008-0000-0000-0000C2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37" name="TextBox 6936">
          <a:extLst>
            <a:ext uri="{FF2B5EF4-FFF2-40B4-BE49-F238E27FC236}">
              <a16:creationId xmlns:a16="http://schemas.microsoft.com/office/drawing/2014/main" id="{00000000-0008-0000-0000-0000C3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38" name="TextBox 6937">
          <a:extLst>
            <a:ext uri="{FF2B5EF4-FFF2-40B4-BE49-F238E27FC236}">
              <a16:creationId xmlns:a16="http://schemas.microsoft.com/office/drawing/2014/main" id="{00000000-0008-0000-0000-0000C4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39" name="TextBox 6938">
          <a:extLst>
            <a:ext uri="{FF2B5EF4-FFF2-40B4-BE49-F238E27FC236}">
              <a16:creationId xmlns:a16="http://schemas.microsoft.com/office/drawing/2014/main" id="{00000000-0008-0000-0000-0000C5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40" name="TextBox 6939">
          <a:extLst>
            <a:ext uri="{FF2B5EF4-FFF2-40B4-BE49-F238E27FC236}">
              <a16:creationId xmlns:a16="http://schemas.microsoft.com/office/drawing/2014/main" id="{00000000-0008-0000-0000-0000C6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41" name="TextBox 6940">
          <a:extLst>
            <a:ext uri="{FF2B5EF4-FFF2-40B4-BE49-F238E27FC236}">
              <a16:creationId xmlns:a16="http://schemas.microsoft.com/office/drawing/2014/main" id="{00000000-0008-0000-0000-0000C7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42" name="TextBox 6941">
          <a:extLst>
            <a:ext uri="{FF2B5EF4-FFF2-40B4-BE49-F238E27FC236}">
              <a16:creationId xmlns:a16="http://schemas.microsoft.com/office/drawing/2014/main" id="{00000000-0008-0000-0000-0000C8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43" name="TextBox 6942">
          <a:extLst>
            <a:ext uri="{FF2B5EF4-FFF2-40B4-BE49-F238E27FC236}">
              <a16:creationId xmlns:a16="http://schemas.microsoft.com/office/drawing/2014/main" id="{00000000-0008-0000-0000-0000C9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44" name="TextBox 6943">
          <a:extLst>
            <a:ext uri="{FF2B5EF4-FFF2-40B4-BE49-F238E27FC236}">
              <a16:creationId xmlns:a16="http://schemas.microsoft.com/office/drawing/2014/main" id="{00000000-0008-0000-0000-0000CA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45" name="TextBox 6944">
          <a:extLst>
            <a:ext uri="{FF2B5EF4-FFF2-40B4-BE49-F238E27FC236}">
              <a16:creationId xmlns:a16="http://schemas.microsoft.com/office/drawing/2014/main" id="{00000000-0008-0000-0000-0000CB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46" name="TextBox 6945">
          <a:extLst>
            <a:ext uri="{FF2B5EF4-FFF2-40B4-BE49-F238E27FC236}">
              <a16:creationId xmlns:a16="http://schemas.microsoft.com/office/drawing/2014/main" id="{00000000-0008-0000-0000-0000CC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47" name="TextBox 6946">
          <a:extLst>
            <a:ext uri="{FF2B5EF4-FFF2-40B4-BE49-F238E27FC236}">
              <a16:creationId xmlns:a16="http://schemas.microsoft.com/office/drawing/2014/main" id="{00000000-0008-0000-0000-0000CD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48" name="TextBox 6947">
          <a:extLst>
            <a:ext uri="{FF2B5EF4-FFF2-40B4-BE49-F238E27FC236}">
              <a16:creationId xmlns:a16="http://schemas.microsoft.com/office/drawing/2014/main" id="{00000000-0008-0000-0000-0000CE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49" name="TextBox 6948">
          <a:extLst>
            <a:ext uri="{FF2B5EF4-FFF2-40B4-BE49-F238E27FC236}">
              <a16:creationId xmlns:a16="http://schemas.microsoft.com/office/drawing/2014/main" id="{00000000-0008-0000-0000-0000CF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50" name="TextBox 6949">
          <a:extLst>
            <a:ext uri="{FF2B5EF4-FFF2-40B4-BE49-F238E27FC236}">
              <a16:creationId xmlns:a16="http://schemas.microsoft.com/office/drawing/2014/main" id="{00000000-0008-0000-0000-0000D0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51" name="TextBox 6950">
          <a:extLst>
            <a:ext uri="{FF2B5EF4-FFF2-40B4-BE49-F238E27FC236}">
              <a16:creationId xmlns:a16="http://schemas.microsoft.com/office/drawing/2014/main" id="{00000000-0008-0000-0000-0000D1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52" name="TextBox 6951">
          <a:extLst>
            <a:ext uri="{FF2B5EF4-FFF2-40B4-BE49-F238E27FC236}">
              <a16:creationId xmlns:a16="http://schemas.microsoft.com/office/drawing/2014/main" id="{00000000-0008-0000-0000-0000D2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53" name="TextBox 6952">
          <a:extLst>
            <a:ext uri="{FF2B5EF4-FFF2-40B4-BE49-F238E27FC236}">
              <a16:creationId xmlns:a16="http://schemas.microsoft.com/office/drawing/2014/main" id="{00000000-0008-0000-0000-0000D3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54" name="TextBox 6953">
          <a:extLst>
            <a:ext uri="{FF2B5EF4-FFF2-40B4-BE49-F238E27FC236}">
              <a16:creationId xmlns:a16="http://schemas.microsoft.com/office/drawing/2014/main" id="{00000000-0008-0000-0000-0000D4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55" name="TextBox 6954">
          <a:extLst>
            <a:ext uri="{FF2B5EF4-FFF2-40B4-BE49-F238E27FC236}">
              <a16:creationId xmlns:a16="http://schemas.microsoft.com/office/drawing/2014/main" id="{00000000-0008-0000-0000-0000D5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56" name="TextBox 6955">
          <a:extLst>
            <a:ext uri="{FF2B5EF4-FFF2-40B4-BE49-F238E27FC236}">
              <a16:creationId xmlns:a16="http://schemas.microsoft.com/office/drawing/2014/main" id="{00000000-0008-0000-0000-0000D6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57" name="TextBox 6956">
          <a:extLst>
            <a:ext uri="{FF2B5EF4-FFF2-40B4-BE49-F238E27FC236}">
              <a16:creationId xmlns:a16="http://schemas.microsoft.com/office/drawing/2014/main" id="{00000000-0008-0000-0000-0000D7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58" name="TextBox 6957">
          <a:extLst>
            <a:ext uri="{FF2B5EF4-FFF2-40B4-BE49-F238E27FC236}">
              <a16:creationId xmlns:a16="http://schemas.microsoft.com/office/drawing/2014/main" id="{00000000-0008-0000-0000-0000D8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59" name="TextBox 6958">
          <a:extLst>
            <a:ext uri="{FF2B5EF4-FFF2-40B4-BE49-F238E27FC236}">
              <a16:creationId xmlns:a16="http://schemas.microsoft.com/office/drawing/2014/main" id="{00000000-0008-0000-0000-0000D9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60" name="TextBox 6959">
          <a:extLst>
            <a:ext uri="{FF2B5EF4-FFF2-40B4-BE49-F238E27FC236}">
              <a16:creationId xmlns:a16="http://schemas.microsoft.com/office/drawing/2014/main" id="{00000000-0008-0000-0000-0000DA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61" name="TextBox 6960">
          <a:extLst>
            <a:ext uri="{FF2B5EF4-FFF2-40B4-BE49-F238E27FC236}">
              <a16:creationId xmlns:a16="http://schemas.microsoft.com/office/drawing/2014/main" id="{00000000-0008-0000-0000-0000DB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62" name="TextBox 6961">
          <a:extLst>
            <a:ext uri="{FF2B5EF4-FFF2-40B4-BE49-F238E27FC236}">
              <a16:creationId xmlns:a16="http://schemas.microsoft.com/office/drawing/2014/main" id="{00000000-0008-0000-0000-0000DC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63" name="TextBox 6962">
          <a:extLst>
            <a:ext uri="{FF2B5EF4-FFF2-40B4-BE49-F238E27FC236}">
              <a16:creationId xmlns:a16="http://schemas.microsoft.com/office/drawing/2014/main" id="{00000000-0008-0000-0000-0000DD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64" name="TextBox 6963">
          <a:extLst>
            <a:ext uri="{FF2B5EF4-FFF2-40B4-BE49-F238E27FC236}">
              <a16:creationId xmlns:a16="http://schemas.microsoft.com/office/drawing/2014/main" id="{00000000-0008-0000-0000-0000DE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65" name="TextBox 6964">
          <a:extLst>
            <a:ext uri="{FF2B5EF4-FFF2-40B4-BE49-F238E27FC236}">
              <a16:creationId xmlns:a16="http://schemas.microsoft.com/office/drawing/2014/main" id="{00000000-0008-0000-0000-0000DF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66" name="TextBox 6965">
          <a:extLst>
            <a:ext uri="{FF2B5EF4-FFF2-40B4-BE49-F238E27FC236}">
              <a16:creationId xmlns:a16="http://schemas.microsoft.com/office/drawing/2014/main" id="{00000000-0008-0000-0000-0000E0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67" name="TextBox 6966">
          <a:extLst>
            <a:ext uri="{FF2B5EF4-FFF2-40B4-BE49-F238E27FC236}">
              <a16:creationId xmlns:a16="http://schemas.microsoft.com/office/drawing/2014/main" id="{00000000-0008-0000-0000-0000E1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68" name="TextBox 6967">
          <a:extLst>
            <a:ext uri="{FF2B5EF4-FFF2-40B4-BE49-F238E27FC236}">
              <a16:creationId xmlns:a16="http://schemas.microsoft.com/office/drawing/2014/main" id="{00000000-0008-0000-0000-0000E2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69" name="TextBox 6968">
          <a:extLst>
            <a:ext uri="{FF2B5EF4-FFF2-40B4-BE49-F238E27FC236}">
              <a16:creationId xmlns:a16="http://schemas.microsoft.com/office/drawing/2014/main" id="{00000000-0008-0000-0000-0000E3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70" name="TextBox 6969">
          <a:extLst>
            <a:ext uri="{FF2B5EF4-FFF2-40B4-BE49-F238E27FC236}">
              <a16:creationId xmlns:a16="http://schemas.microsoft.com/office/drawing/2014/main" id="{00000000-0008-0000-0000-0000E4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71" name="TextBox 6970">
          <a:extLst>
            <a:ext uri="{FF2B5EF4-FFF2-40B4-BE49-F238E27FC236}">
              <a16:creationId xmlns:a16="http://schemas.microsoft.com/office/drawing/2014/main" id="{00000000-0008-0000-0000-0000E5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72" name="TextBox 6971">
          <a:extLst>
            <a:ext uri="{FF2B5EF4-FFF2-40B4-BE49-F238E27FC236}">
              <a16:creationId xmlns:a16="http://schemas.microsoft.com/office/drawing/2014/main" id="{00000000-0008-0000-0000-0000E6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73" name="TextBox 6972">
          <a:extLst>
            <a:ext uri="{FF2B5EF4-FFF2-40B4-BE49-F238E27FC236}">
              <a16:creationId xmlns:a16="http://schemas.microsoft.com/office/drawing/2014/main" id="{00000000-0008-0000-0000-0000E7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74" name="TextBox 6973">
          <a:extLst>
            <a:ext uri="{FF2B5EF4-FFF2-40B4-BE49-F238E27FC236}">
              <a16:creationId xmlns:a16="http://schemas.microsoft.com/office/drawing/2014/main" id="{00000000-0008-0000-0000-0000E8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75" name="TextBox 6974">
          <a:extLst>
            <a:ext uri="{FF2B5EF4-FFF2-40B4-BE49-F238E27FC236}">
              <a16:creationId xmlns:a16="http://schemas.microsoft.com/office/drawing/2014/main" id="{00000000-0008-0000-0000-0000E9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76" name="TextBox 6975">
          <a:extLst>
            <a:ext uri="{FF2B5EF4-FFF2-40B4-BE49-F238E27FC236}">
              <a16:creationId xmlns:a16="http://schemas.microsoft.com/office/drawing/2014/main" id="{00000000-0008-0000-0000-0000EA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77" name="TextBox 6976">
          <a:extLst>
            <a:ext uri="{FF2B5EF4-FFF2-40B4-BE49-F238E27FC236}">
              <a16:creationId xmlns:a16="http://schemas.microsoft.com/office/drawing/2014/main" id="{00000000-0008-0000-0000-0000EB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78" name="TextBox 6977">
          <a:extLst>
            <a:ext uri="{FF2B5EF4-FFF2-40B4-BE49-F238E27FC236}">
              <a16:creationId xmlns:a16="http://schemas.microsoft.com/office/drawing/2014/main" id="{00000000-0008-0000-0000-0000EC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79" name="TextBox 6978">
          <a:extLst>
            <a:ext uri="{FF2B5EF4-FFF2-40B4-BE49-F238E27FC236}">
              <a16:creationId xmlns:a16="http://schemas.microsoft.com/office/drawing/2014/main" id="{00000000-0008-0000-0000-0000ED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80" name="TextBox 6979">
          <a:extLst>
            <a:ext uri="{FF2B5EF4-FFF2-40B4-BE49-F238E27FC236}">
              <a16:creationId xmlns:a16="http://schemas.microsoft.com/office/drawing/2014/main" id="{00000000-0008-0000-0000-0000EE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81" name="TextBox 6980">
          <a:extLst>
            <a:ext uri="{FF2B5EF4-FFF2-40B4-BE49-F238E27FC236}">
              <a16:creationId xmlns:a16="http://schemas.microsoft.com/office/drawing/2014/main" id="{00000000-0008-0000-0000-0000EF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82" name="TextBox 6981">
          <a:extLst>
            <a:ext uri="{FF2B5EF4-FFF2-40B4-BE49-F238E27FC236}">
              <a16:creationId xmlns:a16="http://schemas.microsoft.com/office/drawing/2014/main" id="{00000000-0008-0000-0000-0000F0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6983" name="TextBox 6982">
          <a:extLst>
            <a:ext uri="{FF2B5EF4-FFF2-40B4-BE49-F238E27FC236}">
              <a16:creationId xmlns:a16="http://schemas.microsoft.com/office/drawing/2014/main" id="{00000000-0008-0000-0000-0000F101000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6984" name="TextBox 6983">
          <a:extLst>
            <a:ext uri="{FF2B5EF4-FFF2-40B4-BE49-F238E27FC236}">
              <a16:creationId xmlns:a16="http://schemas.microsoft.com/office/drawing/2014/main" id="{00000000-0008-0000-0000-0000F2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6985" name="TextBox 6984">
          <a:extLst>
            <a:ext uri="{FF2B5EF4-FFF2-40B4-BE49-F238E27FC236}">
              <a16:creationId xmlns:a16="http://schemas.microsoft.com/office/drawing/2014/main" id="{00000000-0008-0000-0000-0000F3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6986" name="TextBox 6985">
          <a:extLst>
            <a:ext uri="{FF2B5EF4-FFF2-40B4-BE49-F238E27FC236}">
              <a16:creationId xmlns:a16="http://schemas.microsoft.com/office/drawing/2014/main" id="{00000000-0008-0000-0000-0000F4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6987" name="TextBox 6986">
          <a:extLst>
            <a:ext uri="{FF2B5EF4-FFF2-40B4-BE49-F238E27FC236}">
              <a16:creationId xmlns:a16="http://schemas.microsoft.com/office/drawing/2014/main" id="{00000000-0008-0000-0000-0000F5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6988" name="TextBox 6987">
          <a:extLst>
            <a:ext uri="{FF2B5EF4-FFF2-40B4-BE49-F238E27FC236}">
              <a16:creationId xmlns:a16="http://schemas.microsoft.com/office/drawing/2014/main" id="{00000000-0008-0000-0000-0000F6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6989" name="TextBox 6988">
          <a:extLst>
            <a:ext uri="{FF2B5EF4-FFF2-40B4-BE49-F238E27FC236}">
              <a16:creationId xmlns:a16="http://schemas.microsoft.com/office/drawing/2014/main" id="{00000000-0008-0000-0000-0000F7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6990" name="TextBox 6989">
          <a:extLst>
            <a:ext uri="{FF2B5EF4-FFF2-40B4-BE49-F238E27FC236}">
              <a16:creationId xmlns:a16="http://schemas.microsoft.com/office/drawing/2014/main" id="{00000000-0008-0000-0000-0000F8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6991" name="TextBox 6990">
          <a:extLst>
            <a:ext uri="{FF2B5EF4-FFF2-40B4-BE49-F238E27FC236}">
              <a16:creationId xmlns:a16="http://schemas.microsoft.com/office/drawing/2014/main" id="{00000000-0008-0000-0000-0000F901000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6992" name="TextBox 6991">
          <a:extLst>
            <a:ext uri="{FF2B5EF4-FFF2-40B4-BE49-F238E27FC236}">
              <a16:creationId xmlns:a16="http://schemas.microsoft.com/office/drawing/2014/main" id="{D790F7C5-4FB4-4169-AECB-29A162C3B4E0}"/>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6993" name="TextBox 6992">
          <a:extLst>
            <a:ext uri="{FF2B5EF4-FFF2-40B4-BE49-F238E27FC236}">
              <a16:creationId xmlns:a16="http://schemas.microsoft.com/office/drawing/2014/main" id="{4B3266CB-1924-4B0B-A63A-F668BBA86148}"/>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6994" name="TextBox 6993">
          <a:extLst>
            <a:ext uri="{FF2B5EF4-FFF2-40B4-BE49-F238E27FC236}">
              <a16:creationId xmlns:a16="http://schemas.microsoft.com/office/drawing/2014/main" id="{CBC7410D-7C3A-41C0-B6C7-F75F0212AE33}"/>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6995" name="TextBox 6994">
          <a:extLst>
            <a:ext uri="{FF2B5EF4-FFF2-40B4-BE49-F238E27FC236}">
              <a16:creationId xmlns:a16="http://schemas.microsoft.com/office/drawing/2014/main" id="{50BBF757-870F-4C5F-8A6D-BB01D20FB785}"/>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6996" name="TextBox 6995">
          <a:extLst>
            <a:ext uri="{FF2B5EF4-FFF2-40B4-BE49-F238E27FC236}">
              <a16:creationId xmlns:a16="http://schemas.microsoft.com/office/drawing/2014/main" id="{924A6A0B-67A0-4D39-98DD-B4890EA7059F}"/>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6997" name="TextBox 6996">
          <a:extLst>
            <a:ext uri="{FF2B5EF4-FFF2-40B4-BE49-F238E27FC236}">
              <a16:creationId xmlns:a16="http://schemas.microsoft.com/office/drawing/2014/main" id="{418D698A-7CAD-4873-9383-980E4B117409}"/>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6998" name="TextBox 6997">
          <a:extLst>
            <a:ext uri="{FF2B5EF4-FFF2-40B4-BE49-F238E27FC236}">
              <a16:creationId xmlns:a16="http://schemas.microsoft.com/office/drawing/2014/main" id="{D4576B78-2AC7-4FA0-B5A6-410991F126C0}"/>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6999" name="TextBox 6998">
          <a:extLst>
            <a:ext uri="{FF2B5EF4-FFF2-40B4-BE49-F238E27FC236}">
              <a16:creationId xmlns:a16="http://schemas.microsoft.com/office/drawing/2014/main" id="{3F70C200-9F35-47B9-A6A0-8BD020BFA9F5}"/>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7000" name="TextBox 6999">
          <a:extLst>
            <a:ext uri="{FF2B5EF4-FFF2-40B4-BE49-F238E27FC236}">
              <a16:creationId xmlns:a16="http://schemas.microsoft.com/office/drawing/2014/main" id="{B21B1052-165D-406E-ACA9-FA2B1238ADAA}"/>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7001" name="TextBox 7000">
          <a:extLst>
            <a:ext uri="{FF2B5EF4-FFF2-40B4-BE49-F238E27FC236}">
              <a16:creationId xmlns:a16="http://schemas.microsoft.com/office/drawing/2014/main" id="{65417AB6-2889-49DD-9AEF-7149F5D9B7B2}"/>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7002" name="TextBox 7001">
          <a:extLst>
            <a:ext uri="{FF2B5EF4-FFF2-40B4-BE49-F238E27FC236}">
              <a16:creationId xmlns:a16="http://schemas.microsoft.com/office/drawing/2014/main" id="{7BF692BA-8340-4141-BC82-F9CF78D79873}"/>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7003" name="TextBox 7002">
          <a:extLst>
            <a:ext uri="{FF2B5EF4-FFF2-40B4-BE49-F238E27FC236}">
              <a16:creationId xmlns:a16="http://schemas.microsoft.com/office/drawing/2014/main" id="{79127C80-C540-411B-B139-200EBBA5DA66}"/>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7004" name="TextBox 7003">
          <a:extLst>
            <a:ext uri="{FF2B5EF4-FFF2-40B4-BE49-F238E27FC236}">
              <a16:creationId xmlns:a16="http://schemas.microsoft.com/office/drawing/2014/main" id="{B67D3F3D-F87A-4ACF-91FC-9A53D5A2D4D3}"/>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165</xdr:row>
      <xdr:rowOff>0</xdr:rowOff>
    </xdr:from>
    <xdr:ext cx="65" cy="172227"/>
    <xdr:sp macro="" textlink="">
      <xdr:nvSpPr>
        <xdr:cNvPr id="7005" name="TextBox 7004">
          <a:extLst>
            <a:ext uri="{FF2B5EF4-FFF2-40B4-BE49-F238E27FC236}">
              <a16:creationId xmlns:a16="http://schemas.microsoft.com/office/drawing/2014/main" id="{58EC8DC8-71FC-42BE-93DA-79FE716E2108}"/>
            </a:ext>
          </a:extLst>
        </xdr:cNvPr>
        <xdr:cNvSpPr txBox="1"/>
      </xdr:nvSpPr>
      <xdr:spPr>
        <a:xfrm>
          <a:off x="12580620" y="35593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06" name="TextBox 7005">
          <a:extLst>
            <a:ext uri="{FF2B5EF4-FFF2-40B4-BE49-F238E27FC236}">
              <a16:creationId xmlns:a16="http://schemas.microsoft.com/office/drawing/2014/main" id="{7B7B12E6-3D6A-411C-8750-B2D904ED71B9}"/>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07" name="TextBox 7006">
          <a:extLst>
            <a:ext uri="{FF2B5EF4-FFF2-40B4-BE49-F238E27FC236}">
              <a16:creationId xmlns:a16="http://schemas.microsoft.com/office/drawing/2014/main" id="{F482887C-F492-4307-823C-4E10D7821CC6}"/>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08" name="TextBox 7007">
          <a:extLst>
            <a:ext uri="{FF2B5EF4-FFF2-40B4-BE49-F238E27FC236}">
              <a16:creationId xmlns:a16="http://schemas.microsoft.com/office/drawing/2014/main" id="{0949CA64-0CC0-4B53-A59D-24AD43506153}"/>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09" name="TextBox 7008">
          <a:extLst>
            <a:ext uri="{FF2B5EF4-FFF2-40B4-BE49-F238E27FC236}">
              <a16:creationId xmlns:a16="http://schemas.microsoft.com/office/drawing/2014/main" id="{AF47DE7E-DEEE-4D8F-BEA0-B678FC4108A0}"/>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10" name="TextBox 7009">
          <a:extLst>
            <a:ext uri="{FF2B5EF4-FFF2-40B4-BE49-F238E27FC236}">
              <a16:creationId xmlns:a16="http://schemas.microsoft.com/office/drawing/2014/main" id="{50B7B56B-3E53-478E-BD2A-1CB44BB0EE30}"/>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11" name="TextBox 7010">
          <a:extLst>
            <a:ext uri="{FF2B5EF4-FFF2-40B4-BE49-F238E27FC236}">
              <a16:creationId xmlns:a16="http://schemas.microsoft.com/office/drawing/2014/main" id="{9A76D97E-F211-4995-A860-8787CD5178FF}"/>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12" name="TextBox 7011">
          <a:extLst>
            <a:ext uri="{FF2B5EF4-FFF2-40B4-BE49-F238E27FC236}">
              <a16:creationId xmlns:a16="http://schemas.microsoft.com/office/drawing/2014/main" id="{9FC70A70-D526-4203-8E11-372D840B6103}"/>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13" name="TextBox 7012">
          <a:extLst>
            <a:ext uri="{FF2B5EF4-FFF2-40B4-BE49-F238E27FC236}">
              <a16:creationId xmlns:a16="http://schemas.microsoft.com/office/drawing/2014/main" id="{4F6B1A49-C9DC-473C-8ECD-E788E907B701}"/>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14" name="TextBox 7013">
          <a:extLst>
            <a:ext uri="{FF2B5EF4-FFF2-40B4-BE49-F238E27FC236}">
              <a16:creationId xmlns:a16="http://schemas.microsoft.com/office/drawing/2014/main" id="{7249EAE9-2088-4834-9241-A764E60A6F18}"/>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15" name="TextBox 7014">
          <a:extLst>
            <a:ext uri="{FF2B5EF4-FFF2-40B4-BE49-F238E27FC236}">
              <a16:creationId xmlns:a16="http://schemas.microsoft.com/office/drawing/2014/main" id="{CEEDDCB2-23A2-47B2-AA3F-37312ED4C714}"/>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16" name="TextBox 7015">
          <a:extLst>
            <a:ext uri="{FF2B5EF4-FFF2-40B4-BE49-F238E27FC236}">
              <a16:creationId xmlns:a16="http://schemas.microsoft.com/office/drawing/2014/main" id="{C53CCEBA-D398-4C3C-8E47-107C27B759C1}"/>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17" name="TextBox 7016">
          <a:extLst>
            <a:ext uri="{FF2B5EF4-FFF2-40B4-BE49-F238E27FC236}">
              <a16:creationId xmlns:a16="http://schemas.microsoft.com/office/drawing/2014/main" id="{C8C855ED-970E-43B8-A5B1-6F6ADBB998A9}"/>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18" name="TextBox 7017">
          <a:extLst>
            <a:ext uri="{FF2B5EF4-FFF2-40B4-BE49-F238E27FC236}">
              <a16:creationId xmlns:a16="http://schemas.microsoft.com/office/drawing/2014/main" id="{E705C099-0DDB-4CBB-91AA-6BD578E38D4C}"/>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19" name="TextBox 7018">
          <a:extLst>
            <a:ext uri="{FF2B5EF4-FFF2-40B4-BE49-F238E27FC236}">
              <a16:creationId xmlns:a16="http://schemas.microsoft.com/office/drawing/2014/main" id="{ADA9DEB9-F0D8-4AB1-B42C-8371D735EDB0}"/>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020" name="TextBox 7019">
          <a:extLst>
            <a:ext uri="{FF2B5EF4-FFF2-40B4-BE49-F238E27FC236}">
              <a16:creationId xmlns:a16="http://schemas.microsoft.com/office/drawing/2014/main" id="{709CBE26-A551-4C7C-A384-D56B48045E68}"/>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021" name="TextBox 7020">
          <a:extLst>
            <a:ext uri="{FF2B5EF4-FFF2-40B4-BE49-F238E27FC236}">
              <a16:creationId xmlns:a16="http://schemas.microsoft.com/office/drawing/2014/main" id="{FCF004D5-83CC-4601-BE3C-2D350D291279}"/>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022" name="TextBox 7021">
          <a:extLst>
            <a:ext uri="{FF2B5EF4-FFF2-40B4-BE49-F238E27FC236}">
              <a16:creationId xmlns:a16="http://schemas.microsoft.com/office/drawing/2014/main" id="{27CE9EF6-2DFA-4778-9205-D83560524403}"/>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023" name="TextBox 7022">
          <a:extLst>
            <a:ext uri="{FF2B5EF4-FFF2-40B4-BE49-F238E27FC236}">
              <a16:creationId xmlns:a16="http://schemas.microsoft.com/office/drawing/2014/main" id="{AEF2C205-301C-4560-BC83-375E974BCEAF}"/>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024" name="TextBox 7023">
          <a:extLst>
            <a:ext uri="{FF2B5EF4-FFF2-40B4-BE49-F238E27FC236}">
              <a16:creationId xmlns:a16="http://schemas.microsoft.com/office/drawing/2014/main" id="{3DCCF9ED-9B1F-4DC7-B839-6E3EB677417B}"/>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025" name="TextBox 7024">
          <a:extLst>
            <a:ext uri="{FF2B5EF4-FFF2-40B4-BE49-F238E27FC236}">
              <a16:creationId xmlns:a16="http://schemas.microsoft.com/office/drawing/2014/main" id="{3D9466B2-EB98-463C-88EA-A326C523B5D8}"/>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026" name="TextBox 7025">
          <a:extLst>
            <a:ext uri="{FF2B5EF4-FFF2-40B4-BE49-F238E27FC236}">
              <a16:creationId xmlns:a16="http://schemas.microsoft.com/office/drawing/2014/main" id="{0F2E4FBC-6F9D-49D8-B320-D21C3287204C}"/>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027" name="TextBox 7026">
          <a:extLst>
            <a:ext uri="{FF2B5EF4-FFF2-40B4-BE49-F238E27FC236}">
              <a16:creationId xmlns:a16="http://schemas.microsoft.com/office/drawing/2014/main" id="{9EE8A67A-FC51-41CC-B6A6-507074A0155B}"/>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028" name="TextBox 7027">
          <a:extLst>
            <a:ext uri="{FF2B5EF4-FFF2-40B4-BE49-F238E27FC236}">
              <a16:creationId xmlns:a16="http://schemas.microsoft.com/office/drawing/2014/main" id="{E3EE1ED8-1246-4E13-86A2-D686D3F3CFAC}"/>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029" name="TextBox 7028">
          <a:extLst>
            <a:ext uri="{FF2B5EF4-FFF2-40B4-BE49-F238E27FC236}">
              <a16:creationId xmlns:a16="http://schemas.microsoft.com/office/drawing/2014/main" id="{112F0F0B-ABFD-4DDD-BCB9-10FEAFDB5AD9}"/>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030" name="TextBox 7029">
          <a:extLst>
            <a:ext uri="{FF2B5EF4-FFF2-40B4-BE49-F238E27FC236}">
              <a16:creationId xmlns:a16="http://schemas.microsoft.com/office/drawing/2014/main" id="{12EDF718-BDAC-48A4-BBFB-24DCD5C1D4FC}"/>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031" name="TextBox 7030">
          <a:extLst>
            <a:ext uri="{FF2B5EF4-FFF2-40B4-BE49-F238E27FC236}">
              <a16:creationId xmlns:a16="http://schemas.microsoft.com/office/drawing/2014/main" id="{B3B85458-8D8F-4F12-B7C0-DC92B39A1F35}"/>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032" name="TextBox 7031">
          <a:extLst>
            <a:ext uri="{FF2B5EF4-FFF2-40B4-BE49-F238E27FC236}">
              <a16:creationId xmlns:a16="http://schemas.microsoft.com/office/drawing/2014/main" id="{BF066412-0AC2-4C2B-9E92-DFE86D6A185E}"/>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033" name="TextBox 7032">
          <a:extLst>
            <a:ext uri="{FF2B5EF4-FFF2-40B4-BE49-F238E27FC236}">
              <a16:creationId xmlns:a16="http://schemas.microsoft.com/office/drawing/2014/main" id="{F84E80ED-F217-41BA-9FA6-C1DBC25F3A17}"/>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7034" name="TextBox 7033">
          <a:extLst>
            <a:ext uri="{FF2B5EF4-FFF2-40B4-BE49-F238E27FC236}">
              <a16:creationId xmlns:a16="http://schemas.microsoft.com/office/drawing/2014/main" id="{3C382DA0-3B16-41EA-A4C3-F0294E849D64}"/>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7035" name="TextBox 7034">
          <a:extLst>
            <a:ext uri="{FF2B5EF4-FFF2-40B4-BE49-F238E27FC236}">
              <a16:creationId xmlns:a16="http://schemas.microsoft.com/office/drawing/2014/main" id="{BD9C7CBD-CBB6-4FCD-99C9-50F7AA79373D}"/>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7036" name="TextBox 7035">
          <a:extLst>
            <a:ext uri="{FF2B5EF4-FFF2-40B4-BE49-F238E27FC236}">
              <a16:creationId xmlns:a16="http://schemas.microsoft.com/office/drawing/2014/main" id="{8BB1ED4C-16A8-478A-86C0-5203F18D91C6}"/>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7037" name="TextBox 7036">
          <a:extLst>
            <a:ext uri="{FF2B5EF4-FFF2-40B4-BE49-F238E27FC236}">
              <a16:creationId xmlns:a16="http://schemas.microsoft.com/office/drawing/2014/main" id="{0091D645-A26B-466F-B352-25C3FB39D6F1}"/>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7038" name="TextBox 7037">
          <a:extLst>
            <a:ext uri="{FF2B5EF4-FFF2-40B4-BE49-F238E27FC236}">
              <a16:creationId xmlns:a16="http://schemas.microsoft.com/office/drawing/2014/main" id="{35EF0C43-E328-462B-AF19-6E1DCE23D6A4}"/>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7039" name="TextBox 7038">
          <a:extLst>
            <a:ext uri="{FF2B5EF4-FFF2-40B4-BE49-F238E27FC236}">
              <a16:creationId xmlns:a16="http://schemas.microsoft.com/office/drawing/2014/main" id="{5C728BC9-EF9C-4834-85EB-89B8DA8B60FA}"/>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7040" name="TextBox 7039">
          <a:extLst>
            <a:ext uri="{FF2B5EF4-FFF2-40B4-BE49-F238E27FC236}">
              <a16:creationId xmlns:a16="http://schemas.microsoft.com/office/drawing/2014/main" id="{79B0426E-FC29-4C02-A446-18A8617AD030}"/>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7041" name="TextBox 7040">
          <a:extLst>
            <a:ext uri="{FF2B5EF4-FFF2-40B4-BE49-F238E27FC236}">
              <a16:creationId xmlns:a16="http://schemas.microsoft.com/office/drawing/2014/main" id="{33FA89B9-E063-4E24-A294-250746A07989}"/>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7042" name="TextBox 7041">
          <a:extLst>
            <a:ext uri="{FF2B5EF4-FFF2-40B4-BE49-F238E27FC236}">
              <a16:creationId xmlns:a16="http://schemas.microsoft.com/office/drawing/2014/main" id="{2AF33786-6F2B-4820-BF34-97EB9446272D}"/>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7043" name="TextBox 7042">
          <a:extLst>
            <a:ext uri="{FF2B5EF4-FFF2-40B4-BE49-F238E27FC236}">
              <a16:creationId xmlns:a16="http://schemas.microsoft.com/office/drawing/2014/main" id="{074AF2E0-FEDD-4259-BC34-F834F8835ABA}"/>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7044" name="TextBox 7043">
          <a:extLst>
            <a:ext uri="{FF2B5EF4-FFF2-40B4-BE49-F238E27FC236}">
              <a16:creationId xmlns:a16="http://schemas.microsoft.com/office/drawing/2014/main" id="{E32CFB6A-0BC3-4882-BA93-3663F1478B4B}"/>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7045" name="TextBox 7044">
          <a:extLst>
            <a:ext uri="{FF2B5EF4-FFF2-40B4-BE49-F238E27FC236}">
              <a16:creationId xmlns:a16="http://schemas.microsoft.com/office/drawing/2014/main" id="{232C319A-A05C-4E4C-B70F-53CD62844786}"/>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7046" name="TextBox 7045">
          <a:extLst>
            <a:ext uri="{FF2B5EF4-FFF2-40B4-BE49-F238E27FC236}">
              <a16:creationId xmlns:a16="http://schemas.microsoft.com/office/drawing/2014/main" id="{E7B4BF10-06BE-40D4-B8CD-1D183900F7FC}"/>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166</xdr:row>
      <xdr:rowOff>0</xdr:rowOff>
    </xdr:from>
    <xdr:ext cx="65" cy="172227"/>
    <xdr:sp macro="" textlink="">
      <xdr:nvSpPr>
        <xdr:cNvPr id="7047" name="TextBox 7046">
          <a:extLst>
            <a:ext uri="{FF2B5EF4-FFF2-40B4-BE49-F238E27FC236}">
              <a16:creationId xmlns:a16="http://schemas.microsoft.com/office/drawing/2014/main" id="{5A18EA2C-8FCD-4B09-9628-684BB05FC0EE}"/>
            </a:ext>
          </a:extLst>
        </xdr:cNvPr>
        <xdr:cNvSpPr txBox="1"/>
      </xdr:nvSpPr>
      <xdr:spPr>
        <a:xfrm>
          <a:off x="826770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7048" name="TextBox 7047">
          <a:extLst>
            <a:ext uri="{FF2B5EF4-FFF2-40B4-BE49-F238E27FC236}">
              <a16:creationId xmlns:a16="http://schemas.microsoft.com/office/drawing/2014/main" id="{9BE79D93-0007-4C2D-B888-2DDD6E273D3D}"/>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7049" name="TextBox 7048">
          <a:extLst>
            <a:ext uri="{FF2B5EF4-FFF2-40B4-BE49-F238E27FC236}">
              <a16:creationId xmlns:a16="http://schemas.microsoft.com/office/drawing/2014/main" id="{FA01E607-FE1D-4CE4-A5EC-9631927111DD}"/>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7050" name="TextBox 7049">
          <a:extLst>
            <a:ext uri="{FF2B5EF4-FFF2-40B4-BE49-F238E27FC236}">
              <a16:creationId xmlns:a16="http://schemas.microsoft.com/office/drawing/2014/main" id="{9F570716-4475-4577-B30E-E3D3A48F407D}"/>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7051" name="TextBox 7050">
          <a:extLst>
            <a:ext uri="{FF2B5EF4-FFF2-40B4-BE49-F238E27FC236}">
              <a16:creationId xmlns:a16="http://schemas.microsoft.com/office/drawing/2014/main" id="{98B6C11F-B14A-4E61-87BD-AFDB290E2A2C}"/>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7052" name="TextBox 7051">
          <a:extLst>
            <a:ext uri="{FF2B5EF4-FFF2-40B4-BE49-F238E27FC236}">
              <a16:creationId xmlns:a16="http://schemas.microsoft.com/office/drawing/2014/main" id="{3B7AE155-01C5-4D7E-BACB-762DF86AD275}"/>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7053" name="TextBox 7052">
          <a:extLst>
            <a:ext uri="{FF2B5EF4-FFF2-40B4-BE49-F238E27FC236}">
              <a16:creationId xmlns:a16="http://schemas.microsoft.com/office/drawing/2014/main" id="{1FFE576E-A19D-4D62-9ADD-5266CE1FAD63}"/>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7054" name="TextBox 7053">
          <a:extLst>
            <a:ext uri="{FF2B5EF4-FFF2-40B4-BE49-F238E27FC236}">
              <a16:creationId xmlns:a16="http://schemas.microsoft.com/office/drawing/2014/main" id="{129DB351-0B99-4004-8BB2-43783478180E}"/>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7055" name="TextBox 7054">
          <a:extLst>
            <a:ext uri="{FF2B5EF4-FFF2-40B4-BE49-F238E27FC236}">
              <a16:creationId xmlns:a16="http://schemas.microsoft.com/office/drawing/2014/main" id="{4F59AF9B-FC6D-4EB3-B6DE-7607CF46335F}"/>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7056" name="TextBox 7055">
          <a:extLst>
            <a:ext uri="{FF2B5EF4-FFF2-40B4-BE49-F238E27FC236}">
              <a16:creationId xmlns:a16="http://schemas.microsoft.com/office/drawing/2014/main" id="{176B7034-9AD5-4253-A295-A872DA9D9FB7}"/>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7057" name="TextBox 7056">
          <a:extLst>
            <a:ext uri="{FF2B5EF4-FFF2-40B4-BE49-F238E27FC236}">
              <a16:creationId xmlns:a16="http://schemas.microsoft.com/office/drawing/2014/main" id="{B1A6011D-893C-4B98-921B-AA87FF1EA0F5}"/>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7058" name="TextBox 7057">
          <a:extLst>
            <a:ext uri="{FF2B5EF4-FFF2-40B4-BE49-F238E27FC236}">
              <a16:creationId xmlns:a16="http://schemas.microsoft.com/office/drawing/2014/main" id="{C96DDC89-4333-4809-93AD-B3B389EDBD7C}"/>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7059" name="TextBox 7058">
          <a:extLst>
            <a:ext uri="{FF2B5EF4-FFF2-40B4-BE49-F238E27FC236}">
              <a16:creationId xmlns:a16="http://schemas.microsoft.com/office/drawing/2014/main" id="{E35AF2B5-B026-4EE1-87A0-829741757F6E}"/>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7060" name="TextBox 7059">
          <a:extLst>
            <a:ext uri="{FF2B5EF4-FFF2-40B4-BE49-F238E27FC236}">
              <a16:creationId xmlns:a16="http://schemas.microsoft.com/office/drawing/2014/main" id="{55A8B43E-7885-4685-A6E4-CBFFACA9E24D}"/>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167</xdr:row>
      <xdr:rowOff>0</xdr:rowOff>
    </xdr:from>
    <xdr:ext cx="65" cy="172227"/>
    <xdr:sp macro="" textlink="">
      <xdr:nvSpPr>
        <xdr:cNvPr id="7061" name="TextBox 7060">
          <a:extLst>
            <a:ext uri="{FF2B5EF4-FFF2-40B4-BE49-F238E27FC236}">
              <a16:creationId xmlns:a16="http://schemas.microsoft.com/office/drawing/2014/main" id="{7D20861C-376D-4D6E-B29E-125D65F0087F}"/>
            </a:ext>
          </a:extLst>
        </xdr:cNvPr>
        <xdr:cNvSpPr txBox="1"/>
      </xdr:nvSpPr>
      <xdr:spPr>
        <a:xfrm>
          <a:off x="826770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7062" name="TextBox 7061">
          <a:extLst>
            <a:ext uri="{FF2B5EF4-FFF2-40B4-BE49-F238E27FC236}">
              <a16:creationId xmlns:a16="http://schemas.microsoft.com/office/drawing/2014/main" id="{5A7EBEED-7B32-4932-B601-4E52DAD91BA9}"/>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7063" name="TextBox 7062">
          <a:extLst>
            <a:ext uri="{FF2B5EF4-FFF2-40B4-BE49-F238E27FC236}">
              <a16:creationId xmlns:a16="http://schemas.microsoft.com/office/drawing/2014/main" id="{C7F843F5-8D70-4866-AF80-3CE04DCE90DD}"/>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7064" name="TextBox 7063">
          <a:extLst>
            <a:ext uri="{FF2B5EF4-FFF2-40B4-BE49-F238E27FC236}">
              <a16:creationId xmlns:a16="http://schemas.microsoft.com/office/drawing/2014/main" id="{32E86947-C5E7-4035-B050-931C9A2F6A6B}"/>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7065" name="TextBox 7064">
          <a:extLst>
            <a:ext uri="{FF2B5EF4-FFF2-40B4-BE49-F238E27FC236}">
              <a16:creationId xmlns:a16="http://schemas.microsoft.com/office/drawing/2014/main" id="{3DD4913D-DAE8-44B1-B80F-58E6238A88A0}"/>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7066" name="TextBox 7065">
          <a:extLst>
            <a:ext uri="{FF2B5EF4-FFF2-40B4-BE49-F238E27FC236}">
              <a16:creationId xmlns:a16="http://schemas.microsoft.com/office/drawing/2014/main" id="{8AD5AE77-1A30-472F-BB8C-9B14AEAF4F03}"/>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7067" name="TextBox 7066">
          <a:extLst>
            <a:ext uri="{FF2B5EF4-FFF2-40B4-BE49-F238E27FC236}">
              <a16:creationId xmlns:a16="http://schemas.microsoft.com/office/drawing/2014/main" id="{DC4AD2B7-7D46-439E-85D2-C8DC05D9B56A}"/>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7068" name="TextBox 7067">
          <a:extLst>
            <a:ext uri="{FF2B5EF4-FFF2-40B4-BE49-F238E27FC236}">
              <a16:creationId xmlns:a16="http://schemas.microsoft.com/office/drawing/2014/main" id="{E3BA048B-044B-484B-B030-99B3D45036C8}"/>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7069" name="TextBox 7068">
          <a:extLst>
            <a:ext uri="{FF2B5EF4-FFF2-40B4-BE49-F238E27FC236}">
              <a16:creationId xmlns:a16="http://schemas.microsoft.com/office/drawing/2014/main" id="{FB74539F-F3E6-448C-8660-B891F62E5BC5}"/>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7070" name="TextBox 7069">
          <a:extLst>
            <a:ext uri="{FF2B5EF4-FFF2-40B4-BE49-F238E27FC236}">
              <a16:creationId xmlns:a16="http://schemas.microsoft.com/office/drawing/2014/main" id="{DD77E41D-DD3F-4DA0-B5BA-C98589822B11}"/>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7071" name="TextBox 7070">
          <a:extLst>
            <a:ext uri="{FF2B5EF4-FFF2-40B4-BE49-F238E27FC236}">
              <a16:creationId xmlns:a16="http://schemas.microsoft.com/office/drawing/2014/main" id="{A13635F1-5ACB-48BE-A16F-D9529607C046}"/>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7072" name="TextBox 7071">
          <a:extLst>
            <a:ext uri="{FF2B5EF4-FFF2-40B4-BE49-F238E27FC236}">
              <a16:creationId xmlns:a16="http://schemas.microsoft.com/office/drawing/2014/main" id="{F707F3AF-0F0B-4E04-82AE-E4E43C12C5CA}"/>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7073" name="TextBox 7072">
          <a:extLst>
            <a:ext uri="{FF2B5EF4-FFF2-40B4-BE49-F238E27FC236}">
              <a16:creationId xmlns:a16="http://schemas.microsoft.com/office/drawing/2014/main" id="{6E98DD5A-05AD-45C2-8D4B-6605140437E5}"/>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7074" name="TextBox 7073">
          <a:extLst>
            <a:ext uri="{FF2B5EF4-FFF2-40B4-BE49-F238E27FC236}">
              <a16:creationId xmlns:a16="http://schemas.microsoft.com/office/drawing/2014/main" id="{7A5BAB34-791F-4DBE-89CC-7D5BC7B4041F}"/>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168</xdr:row>
      <xdr:rowOff>0</xdr:rowOff>
    </xdr:from>
    <xdr:ext cx="65" cy="172227"/>
    <xdr:sp macro="" textlink="">
      <xdr:nvSpPr>
        <xdr:cNvPr id="7075" name="TextBox 7074">
          <a:extLst>
            <a:ext uri="{FF2B5EF4-FFF2-40B4-BE49-F238E27FC236}">
              <a16:creationId xmlns:a16="http://schemas.microsoft.com/office/drawing/2014/main" id="{C5EDE199-723F-4E4A-B41D-0124D54E8EDD}"/>
            </a:ext>
          </a:extLst>
        </xdr:cNvPr>
        <xdr:cNvSpPr txBox="1"/>
      </xdr:nvSpPr>
      <xdr:spPr>
        <a:xfrm>
          <a:off x="826770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7076" name="TextBox 7075">
          <a:extLst>
            <a:ext uri="{FF2B5EF4-FFF2-40B4-BE49-F238E27FC236}">
              <a16:creationId xmlns:a16="http://schemas.microsoft.com/office/drawing/2014/main" id="{DF667CC1-E548-4F78-87CD-AABC8253902E}"/>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7077" name="TextBox 7076">
          <a:extLst>
            <a:ext uri="{FF2B5EF4-FFF2-40B4-BE49-F238E27FC236}">
              <a16:creationId xmlns:a16="http://schemas.microsoft.com/office/drawing/2014/main" id="{52FC385F-C64A-44E5-BDF9-DD30307D58ED}"/>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7078" name="TextBox 7077">
          <a:extLst>
            <a:ext uri="{FF2B5EF4-FFF2-40B4-BE49-F238E27FC236}">
              <a16:creationId xmlns:a16="http://schemas.microsoft.com/office/drawing/2014/main" id="{4B74537D-86DE-47B1-9465-6CCA1ECC873D}"/>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7079" name="TextBox 7078">
          <a:extLst>
            <a:ext uri="{FF2B5EF4-FFF2-40B4-BE49-F238E27FC236}">
              <a16:creationId xmlns:a16="http://schemas.microsoft.com/office/drawing/2014/main" id="{E22DF65F-3524-481A-AB80-45F39BE31766}"/>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7080" name="TextBox 7079">
          <a:extLst>
            <a:ext uri="{FF2B5EF4-FFF2-40B4-BE49-F238E27FC236}">
              <a16:creationId xmlns:a16="http://schemas.microsoft.com/office/drawing/2014/main" id="{8AB51B9B-83E5-4B01-93EA-6A7F75417473}"/>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7081" name="TextBox 7080">
          <a:extLst>
            <a:ext uri="{FF2B5EF4-FFF2-40B4-BE49-F238E27FC236}">
              <a16:creationId xmlns:a16="http://schemas.microsoft.com/office/drawing/2014/main" id="{D7DA0530-2A98-419F-8477-5B64F625A955}"/>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7082" name="TextBox 7081">
          <a:extLst>
            <a:ext uri="{FF2B5EF4-FFF2-40B4-BE49-F238E27FC236}">
              <a16:creationId xmlns:a16="http://schemas.microsoft.com/office/drawing/2014/main" id="{22F1AE7F-F70F-49B2-AEB7-2F87A84BD459}"/>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7083" name="TextBox 7082">
          <a:extLst>
            <a:ext uri="{FF2B5EF4-FFF2-40B4-BE49-F238E27FC236}">
              <a16:creationId xmlns:a16="http://schemas.microsoft.com/office/drawing/2014/main" id="{8B40DB25-9FA1-4BEF-A699-64CF3C1922DD}"/>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7084" name="TextBox 7083">
          <a:extLst>
            <a:ext uri="{FF2B5EF4-FFF2-40B4-BE49-F238E27FC236}">
              <a16:creationId xmlns:a16="http://schemas.microsoft.com/office/drawing/2014/main" id="{7DDEB44B-E38E-4A0A-8A35-270134AFDDE6}"/>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7085" name="TextBox 7084">
          <a:extLst>
            <a:ext uri="{FF2B5EF4-FFF2-40B4-BE49-F238E27FC236}">
              <a16:creationId xmlns:a16="http://schemas.microsoft.com/office/drawing/2014/main" id="{66DF986A-B839-4C01-BF56-5D22831A5687}"/>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7086" name="TextBox 7085">
          <a:extLst>
            <a:ext uri="{FF2B5EF4-FFF2-40B4-BE49-F238E27FC236}">
              <a16:creationId xmlns:a16="http://schemas.microsoft.com/office/drawing/2014/main" id="{1E93FD29-9733-4C3E-AAB3-B0E87315C7F0}"/>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7087" name="TextBox 7086">
          <a:extLst>
            <a:ext uri="{FF2B5EF4-FFF2-40B4-BE49-F238E27FC236}">
              <a16:creationId xmlns:a16="http://schemas.microsoft.com/office/drawing/2014/main" id="{5C822E83-0AC2-4526-8B1B-AC4A43E63804}"/>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7088" name="TextBox 7087">
          <a:extLst>
            <a:ext uri="{FF2B5EF4-FFF2-40B4-BE49-F238E27FC236}">
              <a16:creationId xmlns:a16="http://schemas.microsoft.com/office/drawing/2014/main" id="{C15187AA-9C9E-4DF9-AD29-8AA87162E83A}"/>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169</xdr:row>
      <xdr:rowOff>0</xdr:rowOff>
    </xdr:from>
    <xdr:ext cx="65" cy="172227"/>
    <xdr:sp macro="" textlink="">
      <xdr:nvSpPr>
        <xdr:cNvPr id="7089" name="TextBox 7088">
          <a:extLst>
            <a:ext uri="{FF2B5EF4-FFF2-40B4-BE49-F238E27FC236}">
              <a16:creationId xmlns:a16="http://schemas.microsoft.com/office/drawing/2014/main" id="{16344785-5D1F-41C4-8510-064DC3F7A7CC}"/>
            </a:ext>
          </a:extLst>
        </xdr:cNvPr>
        <xdr:cNvSpPr txBox="1"/>
      </xdr:nvSpPr>
      <xdr:spPr>
        <a:xfrm>
          <a:off x="826770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90" name="TextBox 7089">
          <a:extLst>
            <a:ext uri="{FF2B5EF4-FFF2-40B4-BE49-F238E27FC236}">
              <a16:creationId xmlns:a16="http://schemas.microsoft.com/office/drawing/2014/main" id="{4F936D3A-FDA7-4846-9579-1D6FA4875A4D}"/>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91" name="TextBox 7090">
          <a:extLst>
            <a:ext uri="{FF2B5EF4-FFF2-40B4-BE49-F238E27FC236}">
              <a16:creationId xmlns:a16="http://schemas.microsoft.com/office/drawing/2014/main" id="{8777000A-B245-45AD-BC1C-A25A032C01AF}"/>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92" name="TextBox 7091">
          <a:extLst>
            <a:ext uri="{FF2B5EF4-FFF2-40B4-BE49-F238E27FC236}">
              <a16:creationId xmlns:a16="http://schemas.microsoft.com/office/drawing/2014/main" id="{EA2ABE06-5897-46BD-B53C-EE15AF1308A4}"/>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93" name="TextBox 7092">
          <a:extLst>
            <a:ext uri="{FF2B5EF4-FFF2-40B4-BE49-F238E27FC236}">
              <a16:creationId xmlns:a16="http://schemas.microsoft.com/office/drawing/2014/main" id="{235FF3EA-3105-42B5-B8CA-693AAD7664E5}"/>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94" name="TextBox 7093">
          <a:extLst>
            <a:ext uri="{FF2B5EF4-FFF2-40B4-BE49-F238E27FC236}">
              <a16:creationId xmlns:a16="http://schemas.microsoft.com/office/drawing/2014/main" id="{97B4552B-C38D-4ACE-ACE6-4EBBB067850E}"/>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95" name="TextBox 7094">
          <a:extLst>
            <a:ext uri="{FF2B5EF4-FFF2-40B4-BE49-F238E27FC236}">
              <a16:creationId xmlns:a16="http://schemas.microsoft.com/office/drawing/2014/main" id="{7CF1BAD8-B6B0-4A7F-976A-8CA530477EFF}"/>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96" name="TextBox 7095">
          <a:extLst>
            <a:ext uri="{FF2B5EF4-FFF2-40B4-BE49-F238E27FC236}">
              <a16:creationId xmlns:a16="http://schemas.microsoft.com/office/drawing/2014/main" id="{AFEE82A1-E95B-4321-8FD6-478E8862D914}"/>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97" name="TextBox 7096">
          <a:extLst>
            <a:ext uri="{FF2B5EF4-FFF2-40B4-BE49-F238E27FC236}">
              <a16:creationId xmlns:a16="http://schemas.microsoft.com/office/drawing/2014/main" id="{37958B62-4D9C-443F-BF05-18BF1BE3E526}"/>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98" name="TextBox 7097">
          <a:extLst>
            <a:ext uri="{FF2B5EF4-FFF2-40B4-BE49-F238E27FC236}">
              <a16:creationId xmlns:a16="http://schemas.microsoft.com/office/drawing/2014/main" id="{37A572A1-A9F2-4AEC-BE08-ED1730A399A7}"/>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099" name="TextBox 7098">
          <a:extLst>
            <a:ext uri="{FF2B5EF4-FFF2-40B4-BE49-F238E27FC236}">
              <a16:creationId xmlns:a16="http://schemas.microsoft.com/office/drawing/2014/main" id="{E4CFCC5B-4A4C-4E13-9060-CFD05DB9AEE2}"/>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100" name="TextBox 7099">
          <a:extLst>
            <a:ext uri="{FF2B5EF4-FFF2-40B4-BE49-F238E27FC236}">
              <a16:creationId xmlns:a16="http://schemas.microsoft.com/office/drawing/2014/main" id="{425C4BF7-1B61-4129-ABC4-11444FBC9E15}"/>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101" name="TextBox 7100">
          <a:extLst>
            <a:ext uri="{FF2B5EF4-FFF2-40B4-BE49-F238E27FC236}">
              <a16:creationId xmlns:a16="http://schemas.microsoft.com/office/drawing/2014/main" id="{DFE9A253-7D7E-49B6-BFD7-BBB6DBD9D178}"/>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102" name="TextBox 7101">
          <a:extLst>
            <a:ext uri="{FF2B5EF4-FFF2-40B4-BE49-F238E27FC236}">
              <a16:creationId xmlns:a16="http://schemas.microsoft.com/office/drawing/2014/main" id="{730D252D-0D67-46C3-B34E-E9E827F908B1}"/>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166</xdr:row>
      <xdr:rowOff>0</xdr:rowOff>
    </xdr:from>
    <xdr:ext cx="65" cy="172227"/>
    <xdr:sp macro="" textlink="">
      <xdr:nvSpPr>
        <xdr:cNvPr id="7103" name="TextBox 7102">
          <a:extLst>
            <a:ext uri="{FF2B5EF4-FFF2-40B4-BE49-F238E27FC236}">
              <a16:creationId xmlns:a16="http://schemas.microsoft.com/office/drawing/2014/main" id="{9990EFFD-9F4F-4F06-8600-2B0BCD63518F}"/>
            </a:ext>
          </a:extLst>
        </xdr:cNvPr>
        <xdr:cNvSpPr txBox="1"/>
      </xdr:nvSpPr>
      <xdr:spPr>
        <a:xfrm>
          <a:off x="12580620" y="35791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104" name="TextBox 7103">
          <a:extLst>
            <a:ext uri="{FF2B5EF4-FFF2-40B4-BE49-F238E27FC236}">
              <a16:creationId xmlns:a16="http://schemas.microsoft.com/office/drawing/2014/main" id="{814422C6-F7F1-4FB0-A3FC-65FE1F6BDD9A}"/>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105" name="TextBox 7104">
          <a:extLst>
            <a:ext uri="{FF2B5EF4-FFF2-40B4-BE49-F238E27FC236}">
              <a16:creationId xmlns:a16="http://schemas.microsoft.com/office/drawing/2014/main" id="{94B73C01-56EA-471C-BCF9-D2D34733244F}"/>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106" name="TextBox 7105">
          <a:extLst>
            <a:ext uri="{FF2B5EF4-FFF2-40B4-BE49-F238E27FC236}">
              <a16:creationId xmlns:a16="http://schemas.microsoft.com/office/drawing/2014/main" id="{7B216F16-976C-4499-85FA-0C2F04A21698}"/>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107" name="TextBox 7106">
          <a:extLst>
            <a:ext uri="{FF2B5EF4-FFF2-40B4-BE49-F238E27FC236}">
              <a16:creationId xmlns:a16="http://schemas.microsoft.com/office/drawing/2014/main" id="{43F889EE-0ADB-4A55-A927-A233DD6DED85}"/>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108" name="TextBox 7107">
          <a:extLst>
            <a:ext uri="{FF2B5EF4-FFF2-40B4-BE49-F238E27FC236}">
              <a16:creationId xmlns:a16="http://schemas.microsoft.com/office/drawing/2014/main" id="{C2E5D2F2-C3D3-4076-9C23-6385C6170403}"/>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109" name="TextBox 7108">
          <a:extLst>
            <a:ext uri="{FF2B5EF4-FFF2-40B4-BE49-F238E27FC236}">
              <a16:creationId xmlns:a16="http://schemas.microsoft.com/office/drawing/2014/main" id="{0CC0DEC7-C3AF-42EA-94EC-D350CBC31A99}"/>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110" name="TextBox 7109">
          <a:extLst>
            <a:ext uri="{FF2B5EF4-FFF2-40B4-BE49-F238E27FC236}">
              <a16:creationId xmlns:a16="http://schemas.microsoft.com/office/drawing/2014/main" id="{0E9B8ACD-B1D8-4CC2-8F2B-ECCD4EEDCDD3}"/>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111" name="TextBox 7110">
          <a:extLst>
            <a:ext uri="{FF2B5EF4-FFF2-40B4-BE49-F238E27FC236}">
              <a16:creationId xmlns:a16="http://schemas.microsoft.com/office/drawing/2014/main" id="{6AAA95AE-55AC-41D4-94A1-E9CA12E9F664}"/>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112" name="TextBox 7111">
          <a:extLst>
            <a:ext uri="{FF2B5EF4-FFF2-40B4-BE49-F238E27FC236}">
              <a16:creationId xmlns:a16="http://schemas.microsoft.com/office/drawing/2014/main" id="{4C69E6E3-6117-4172-828A-23771510E437}"/>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113" name="TextBox 7112">
          <a:extLst>
            <a:ext uri="{FF2B5EF4-FFF2-40B4-BE49-F238E27FC236}">
              <a16:creationId xmlns:a16="http://schemas.microsoft.com/office/drawing/2014/main" id="{80091CAE-A51D-45EF-8456-4D0E39313CEE}"/>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114" name="TextBox 7113">
          <a:extLst>
            <a:ext uri="{FF2B5EF4-FFF2-40B4-BE49-F238E27FC236}">
              <a16:creationId xmlns:a16="http://schemas.microsoft.com/office/drawing/2014/main" id="{9DD43BA4-AF1C-4C57-B63D-37574DCECEF0}"/>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115" name="TextBox 7114">
          <a:extLst>
            <a:ext uri="{FF2B5EF4-FFF2-40B4-BE49-F238E27FC236}">
              <a16:creationId xmlns:a16="http://schemas.microsoft.com/office/drawing/2014/main" id="{AC6DDDCC-2F8C-4254-9032-9069AAB9C043}"/>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116" name="TextBox 7115">
          <a:extLst>
            <a:ext uri="{FF2B5EF4-FFF2-40B4-BE49-F238E27FC236}">
              <a16:creationId xmlns:a16="http://schemas.microsoft.com/office/drawing/2014/main" id="{9D7DF2F8-D5BB-4957-B3C9-B9719926E87E}"/>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167</xdr:row>
      <xdr:rowOff>0</xdr:rowOff>
    </xdr:from>
    <xdr:ext cx="65" cy="172227"/>
    <xdr:sp macro="" textlink="">
      <xdr:nvSpPr>
        <xdr:cNvPr id="7117" name="TextBox 7116">
          <a:extLst>
            <a:ext uri="{FF2B5EF4-FFF2-40B4-BE49-F238E27FC236}">
              <a16:creationId xmlns:a16="http://schemas.microsoft.com/office/drawing/2014/main" id="{885C5DC7-791F-42DF-A8BD-D97FC586EB33}"/>
            </a:ext>
          </a:extLst>
        </xdr:cNvPr>
        <xdr:cNvSpPr txBox="1"/>
      </xdr:nvSpPr>
      <xdr:spPr>
        <a:xfrm>
          <a:off x="12580620" y="35989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7118" name="TextBox 7117">
          <a:extLst>
            <a:ext uri="{FF2B5EF4-FFF2-40B4-BE49-F238E27FC236}">
              <a16:creationId xmlns:a16="http://schemas.microsoft.com/office/drawing/2014/main" id="{ECB0671C-2391-4309-AA2E-8A53AD8A8084}"/>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7119" name="TextBox 7118">
          <a:extLst>
            <a:ext uri="{FF2B5EF4-FFF2-40B4-BE49-F238E27FC236}">
              <a16:creationId xmlns:a16="http://schemas.microsoft.com/office/drawing/2014/main" id="{2BA66E58-2D0D-4F51-9847-F8E27C7ABD95}"/>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7120" name="TextBox 7119">
          <a:extLst>
            <a:ext uri="{FF2B5EF4-FFF2-40B4-BE49-F238E27FC236}">
              <a16:creationId xmlns:a16="http://schemas.microsoft.com/office/drawing/2014/main" id="{18920596-064C-460E-B316-496DB4E45844}"/>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7121" name="TextBox 7120">
          <a:extLst>
            <a:ext uri="{FF2B5EF4-FFF2-40B4-BE49-F238E27FC236}">
              <a16:creationId xmlns:a16="http://schemas.microsoft.com/office/drawing/2014/main" id="{F4D28A7F-48B2-4963-9A9A-62ACB40E05E2}"/>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7122" name="TextBox 7121">
          <a:extLst>
            <a:ext uri="{FF2B5EF4-FFF2-40B4-BE49-F238E27FC236}">
              <a16:creationId xmlns:a16="http://schemas.microsoft.com/office/drawing/2014/main" id="{172601BB-A273-48D3-8594-24B9080CE122}"/>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7123" name="TextBox 7122">
          <a:extLst>
            <a:ext uri="{FF2B5EF4-FFF2-40B4-BE49-F238E27FC236}">
              <a16:creationId xmlns:a16="http://schemas.microsoft.com/office/drawing/2014/main" id="{DCEB6B4C-AC98-453D-8FBD-D6ACAFC39AC3}"/>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7124" name="TextBox 7123">
          <a:extLst>
            <a:ext uri="{FF2B5EF4-FFF2-40B4-BE49-F238E27FC236}">
              <a16:creationId xmlns:a16="http://schemas.microsoft.com/office/drawing/2014/main" id="{5C17ED80-7961-4DC1-BB2A-9DE0F404EDC8}"/>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7125" name="TextBox 7124">
          <a:extLst>
            <a:ext uri="{FF2B5EF4-FFF2-40B4-BE49-F238E27FC236}">
              <a16:creationId xmlns:a16="http://schemas.microsoft.com/office/drawing/2014/main" id="{4C33F016-B4F3-4770-A984-CB3509151E10}"/>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7126" name="TextBox 7125">
          <a:extLst>
            <a:ext uri="{FF2B5EF4-FFF2-40B4-BE49-F238E27FC236}">
              <a16:creationId xmlns:a16="http://schemas.microsoft.com/office/drawing/2014/main" id="{EFF9D53C-A808-48B1-8B77-26200548DBEC}"/>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7127" name="TextBox 7126">
          <a:extLst>
            <a:ext uri="{FF2B5EF4-FFF2-40B4-BE49-F238E27FC236}">
              <a16:creationId xmlns:a16="http://schemas.microsoft.com/office/drawing/2014/main" id="{FA418557-798D-467D-A76C-EE7890605501}"/>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7128" name="TextBox 7127">
          <a:extLst>
            <a:ext uri="{FF2B5EF4-FFF2-40B4-BE49-F238E27FC236}">
              <a16:creationId xmlns:a16="http://schemas.microsoft.com/office/drawing/2014/main" id="{21D68521-84F2-4531-8046-00DBA48566ED}"/>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7129" name="TextBox 7128">
          <a:extLst>
            <a:ext uri="{FF2B5EF4-FFF2-40B4-BE49-F238E27FC236}">
              <a16:creationId xmlns:a16="http://schemas.microsoft.com/office/drawing/2014/main" id="{7E3702C8-4005-40F4-BBE4-677EE0EBC8C6}"/>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7130" name="TextBox 7129">
          <a:extLst>
            <a:ext uri="{FF2B5EF4-FFF2-40B4-BE49-F238E27FC236}">
              <a16:creationId xmlns:a16="http://schemas.microsoft.com/office/drawing/2014/main" id="{901C38A0-4573-45A4-AB5F-5E059FBD5A7F}"/>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168</xdr:row>
      <xdr:rowOff>0</xdr:rowOff>
    </xdr:from>
    <xdr:ext cx="65" cy="172227"/>
    <xdr:sp macro="" textlink="">
      <xdr:nvSpPr>
        <xdr:cNvPr id="7131" name="TextBox 7130">
          <a:extLst>
            <a:ext uri="{FF2B5EF4-FFF2-40B4-BE49-F238E27FC236}">
              <a16:creationId xmlns:a16="http://schemas.microsoft.com/office/drawing/2014/main" id="{7FBA9B72-EE01-4534-8518-8EA16BED9E21}"/>
            </a:ext>
          </a:extLst>
        </xdr:cNvPr>
        <xdr:cNvSpPr txBox="1"/>
      </xdr:nvSpPr>
      <xdr:spPr>
        <a:xfrm>
          <a:off x="12580620" y="36187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7132" name="TextBox 7131">
          <a:extLst>
            <a:ext uri="{FF2B5EF4-FFF2-40B4-BE49-F238E27FC236}">
              <a16:creationId xmlns:a16="http://schemas.microsoft.com/office/drawing/2014/main" id="{426DB5AA-6FC9-423D-9449-25C7957564C9}"/>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7133" name="TextBox 7132">
          <a:extLst>
            <a:ext uri="{FF2B5EF4-FFF2-40B4-BE49-F238E27FC236}">
              <a16:creationId xmlns:a16="http://schemas.microsoft.com/office/drawing/2014/main" id="{BC83585C-9C69-4536-8284-B8DAE2F523BE}"/>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7134" name="TextBox 7133">
          <a:extLst>
            <a:ext uri="{FF2B5EF4-FFF2-40B4-BE49-F238E27FC236}">
              <a16:creationId xmlns:a16="http://schemas.microsoft.com/office/drawing/2014/main" id="{B45223F6-D770-4D4E-AFD5-6343F2A04C94}"/>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7135" name="TextBox 7134">
          <a:extLst>
            <a:ext uri="{FF2B5EF4-FFF2-40B4-BE49-F238E27FC236}">
              <a16:creationId xmlns:a16="http://schemas.microsoft.com/office/drawing/2014/main" id="{34B374C8-857A-49A0-9D4C-7CAE2C2CB443}"/>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7136" name="TextBox 7135">
          <a:extLst>
            <a:ext uri="{FF2B5EF4-FFF2-40B4-BE49-F238E27FC236}">
              <a16:creationId xmlns:a16="http://schemas.microsoft.com/office/drawing/2014/main" id="{5EEC0772-7EA1-4458-AA65-02027BB8921F}"/>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7137" name="TextBox 7136">
          <a:extLst>
            <a:ext uri="{FF2B5EF4-FFF2-40B4-BE49-F238E27FC236}">
              <a16:creationId xmlns:a16="http://schemas.microsoft.com/office/drawing/2014/main" id="{5E3A13B2-FB15-40B6-97CA-49C539BFB70B}"/>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7138" name="TextBox 7137">
          <a:extLst>
            <a:ext uri="{FF2B5EF4-FFF2-40B4-BE49-F238E27FC236}">
              <a16:creationId xmlns:a16="http://schemas.microsoft.com/office/drawing/2014/main" id="{300407A3-C557-4019-9095-C2A56A5C7274}"/>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7139" name="TextBox 7138">
          <a:extLst>
            <a:ext uri="{FF2B5EF4-FFF2-40B4-BE49-F238E27FC236}">
              <a16:creationId xmlns:a16="http://schemas.microsoft.com/office/drawing/2014/main" id="{1F3D0B01-720C-4727-9D79-BB8336620EEA}"/>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7140" name="TextBox 7139">
          <a:extLst>
            <a:ext uri="{FF2B5EF4-FFF2-40B4-BE49-F238E27FC236}">
              <a16:creationId xmlns:a16="http://schemas.microsoft.com/office/drawing/2014/main" id="{99F8E329-40E6-4FA7-A8BC-BA62A66CDF50}"/>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7141" name="TextBox 7140">
          <a:extLst>
            <a:ext uri="{FF2B5EF4-FFF2-40B4-BE49-F238E27FC236}">
              <a16:creationId xmlns:a16="http://schemas.microsoft.com/office/drawing/2014/main" id="{3A6C9952-D7D6-4E8D-A218-97ED16A4DC22}"/>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7142" name="TextBox 7141">
          <a:extLst>
            <a:ext uri="{FF2B5EF4-FFF2-40B4-BE49-F238E27FC236}">
              <a16:creationId xmlns:a16="http://schemas.microsoft.com/office/drawing/2014/main" id="{C8040D33-2531-4CFD-ACDA-3AB6A0640E12}"/>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7143" name="TextBox 7142">
          <a:extLst>
            <a:ext uri="{FF2B5EF4-FFF2-40B4-BE49-F238E27FC236}">
              <a16:creationId xmlns:a16="http://schemas.microsoft.com/office/drawing/2014/main" id="{3C0AF1C8-79B0-4643-A069-89270333C6DC}"/>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7144" name="TextBox 7143">
          <a:extLst>
            <a:ext uri="{FF2B5EF4-FFF2-40B4-BE49-F238E27FC236}">
              <a16:creationId xmlns:a16="http://schemas.microsoft.com/office/drawing/2014/main" id="{5A7E7A0E-EDDF-41BF-B4D7-992EB5D8E0E9}"/>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169</xdr:row>
      <xdr:rowOff>0</xdr:rowOff>
    </xdr:from>
    <xdr:ext cx="65" cy="172227"/>
    <xdr:sp macro="" textlink="">
      <xdr:nvSpPr>
        <xdr:cNvPr id="7145" name="TextBox 7144">
          <a:extLst>
            <a:ext uri="{FF2B5EF4-FFF2-40B4-BE49-F238E27FC236}">
              <a16:creationId xmlns:a16="http://schemas.microsoft.com/office/drawing/2014/main" id="{48A4571A-2A6B-43E6-8307-D257FEE252B5}"/>
            </a:ext>
          </a:extLst>
        </xdr:cNvPr>
        <xdr:cNvSpPr txBox="1"/>
      </xdr:nvSpPr>
      <xdr:spPr>
        <a:xfrm>
          <a:off x="12580620" y="3638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46" name="TextBox 7145">
          <a:extLst>
            <a:ext uri="{FF2B5EF4-FFF2-40B4-BE49-F238E27FC236}">
              <a16:creationId xmlns:a16="http://schemas.microsoft.com/office/drawing/2014/main" id="{623A75F4-F705-462F-8E79-246F85160AAD}"/>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47" name="TextBox 7146">
          <a:extLst>
            <a:ext uri="{FF2B5EF4-FFF2-40B4-BE49-F238E27FC236}">
              <a16:creationId xmlns:a16="http://schemas.microsoft.com/office/drawing/2014/main" id="{4E29F2DA-9348-42B5-BB55-6B3A5D9FAF25}"/>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48" name="TextBox 7147">
          <a:extLst>
            <a:ext uri="{FF2B5EF4-FFF2-40B4-BE49-F238E27FC236}">
              <a16:creationId xmlns:a16="http://schemas.microsoft.com/office/drawing/2014/main" id="{34C7F6FA-7ACD-4131-A891-C0638BAE509C}"/>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49" name="TextBox 7148">
          <a:extLst>
            <a:ext uri="{FF2B5EF4-FFF2-40B4-BE49-F238E27FC236}">
              <a16:creationId xmlns:a16="http://schemas.microsoft.com/office/drawing/2014/main" id="{D16D5385-8B51-4897-AE61-34820A94E9DF}"/>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50" name="TextBox 7149">
          <a:extLst>
            <a:ext uri="{FF2B5EF4-FFF2-40B4-BE49-F238E27FC236}">
              <a16:creationId xmlns:a16="http://schemas.microsoft.com/office/drawing/2014/main" id="{666E924C-F5E4-46BD-AB9C-EDC7840B3D62}"/>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51" name="TextBox 7150">
          <a:extLst>
            <a:ext uri="{FF2B5EF4-FFF2-40B4-BE49-F238E27FC236}">
              <a16:creationId xmlns:a16="http://schemas.microsoft.com/office/drawing/2014/main" id="{04F6DCCF-81E6-4D9C-BBE5-0FE11829EB62}"/>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52" name="TextBox 7151">
          <a:extLst>
            <a:ext uri="{FF2B5EF4-FFF2-40B4-BE49-F238E27FC236}">
              <a16:creationId xmlns:a16="http://schemas.microsoft.com/office/drawing/2014/main" id="{0A3CD22E-52BD-4F8A-A852-EBC438CEF8B9}"/>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53" name="TextBox 7152">
          <a:extLst>
            <a:ext uri="{FF2B5EF4-FFF2-40B4-BE49-F238E27FC236}">
              <a16:creationId xmlns:a16="http://schemas.microsoft.com/office/drawing/2014/main" id="{74F25AF8-7664-484F-9098-DD8D23F2C65E}"/>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54" name="TextBox 7153">
          <a:extLst>
            <a:ext uri="{FF2B5EF4-FFF2-40B4-BE49-F238E27FC236}">
              <a16:creationId xmlns:a16="http://schemas.microsoft.com/office/drawing/2014/main" id="{83638271-DD25-44DC-8194-15E5B58C9A78}"/>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55" name="TextBox 7154">
          <a:extLst>
            <a:ext uri="{FF2B5EF4-FFF2-40B4-BE49-F238E27FC236}">
              <a16:creationId xmlns:a16="http://schemas.microsoft.com/office/drawing/2014/main" id="{45F96C37-B2D1-4DAD-B728-42780FCE09DC}"/>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56" name="TextBox 7155">
          <a:extLst>
            <a:ext uri="{FF2B5EF4-FFF2-40B4-BE49-F238E27FC236}">
              <a16:creationId xmlns:a16="http://schemas.microsoft.com/office/drawing/2014/main" id="{5B864850-A32F-4BE1-B2F6-755710BA5E74}"/>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57" name="TextBox 7156">
          <a:extLst>
            <a:ext uri="{FF2B5EF4-FFF2-40B4-BE49-F238E27FC236}">
              <a16:creationId xmlns:a16="http://schemas.microsoft.com/office/drawing/2014/main" id="{533C4A28-6FDB-4015-806A-954FFCB9E002}"/>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58" name="TextBox 7157">
          <a:extLst>
            <a:ext uri="{FF2B5EF4-FFF2-40B4-BE49-F238E27FC236}">
              <a16:creationId xmlns:a16="http://schemas.microsoft.com/office/drawing/2014/main" id="{F81618F8-798E-4259-A44E-219F7048A50E}"/>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59" name="TextBox 7158">
          <a:extLst>
            <a:ext uri="{FF2B5EF4-FFF2-40B4-BE49-F238E27FC236}">
              <a16:creationId xmlns:a16="http://schemas.microsoft.com/office/drawing/2014/main" id="{A63E9D8D-03B4-49C6-8EE3-9531081E5966}"/>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60" name="TextBox 7159">
          <a:extLst>
            <a:ext uri="{FF2B5EF4-FFF2-40B4-BE49-F238E27FC236}">
              <a16:creationId xmlns:a16="http://schemas.microsoft.com/office/drawing/2014/main" id="{02981572-A59D-45EA-9323-2F6796BD3C36}"/>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61" name="TextBox 7160">
          <a:extLst>
            <a:ext uri="{FF2B5EF4-FFF2-40B4-BE49-F238E27FC236}">
              <a16:creationId xmlns:a16="http://schemas.microsoft.com/office/drawing/2014/main" id="{E26D2993-630D-40D5-AC2D-BC5DFFBA943A}"/>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62" name="TextBox 7161">
          <a:extLst>
            <a:ext uri="{FF2B5EF4-FFF2-40B4-BE49-F238E27FC236}">
              <a16:creationId xmlns:a16="http://schemas.microsoft.com/office/drawing/2014/main" id="{B07A0205-A716-49AE-AC45-DDD62CC50BB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63" name="TextBox 7162">
          <a:extLst>
            <a:ext uri="{FF2B5EF4-FFF2-40B4-BE49-F238E27FC236}">
              <a16:creationId xmlns:a16="http://schemas.microsoft.com/office/drawing/2014/main" id="{110466E8-A909-405D-8383-2285258737C1}"/>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64" name="TextBox 7163">
          <a:extLst>
            <a:ext uri="{FF2B5EF4-FFF2-40B4-BE49-F238E27FC236}">
              <a16:creationId xmlns:a16="http://schemas.microsoft.com/office/drawing/2014/main" id="{86BF8DD8-D284-4847-AA46-262B390B3D11}"/>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65" name="TextBox 7164">
          <a:extLst>
            <a:ext uri="{FF2B5EF4-FFF2-40B4-BE49-F238E27FC236}">
              <a16:creationId xmlns:a16="http://schemas.microsoft.com/office/drawing/2014/main" id="{93A078A7-6A92-4AE1-8FA1-A4AB25D34993}"/>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66" name="TextBox 7165">
          <a:extLst>
            <a:ext uri="{FF2B5EF4-FFF2-40B4-BE49-F238E27FC236}">
              <a16:creationId xmlns:a16="http://schemas.microsoft.com/office/drawing/2014/main" id="{7A960991-568F-468E-94E2-98478BD82285}"/>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67" name="TextBox 7166">
          <a:extLst>
            <a:ext uri="{FF2B5EF4-FFF2-40B4-BE49-F238E27FC236}">
              <a16:creationId xmlns:a16="http://schemas.microsoft.com/office/drawing/2014/main" id="{FFF2E72A-E033-4665-A880-0CF0BF79B0D1}"/>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68" name="TextBox 7167">
          <a:extLst>
            <a:ext uri="{FF2B5EF4-FFF2-40B4-BE49-F238E27FC236}">
              <a16:creationId xmlns:a16="http://schemas.microsoft.com/office/drawing/2014/main" id="{CC42BD38-20BE-465D-9A99-D679C8DAE5C3}"/>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69" name="TextBox 7168">
          <a:extLst>
            <a:ext uri="{FF2B5EF4-FFF2-40B4-BE49-F238E27FC236}">
              <a16:creationId xmlns:a16="http://schemas.microsoft.com/office/drawing/2014/main" id="{6512ACF3-1A85-400B-A5C6-C8E1B8FAFE52}"/>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70" name="TextBox 7169">
          <a:extLst>
            <a:ext uri="{FF2B5EF4-FFF2-40B4-BE49-F238E27FC236}">
              <a16:creationId xmlns:a16="http://schemas.microsoft.com/office/drawing/2014/main" id="{79F97C13-94A4-475E-8F2F-1F5E40C7FF99}"/>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71" name="TextBox 7170">
          <a:extLst>
            <a:ext uri="{FF2B5EF4-FFF2-40B4-BE49-F238E27FC236}">
              <a16:creationId xmlns:a16="http://schemas.microsoft.com/office/drawing/2014/main" id="{DC1837BD-D8AC-4231-A8E0-439F4C971D44}"/>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72" name="TextBox 7171">
          <a:extLst>
            <a:ext uri="{FF2B5EF4-FFF2-40B4-BE49-F238E27FC236}">
              <a16:creationId xmlns:a16="http://schemas.microsoft.com/office/drawing/2014/main" id="{CC91899C-46CC-4846-B6B7-367BCDB7A9AA}"/>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73" name="TextBox 7172">
          <a:extLst>
            <a:ext uri="{FF2B5EF4-FFF2-40B4-BE49-F238E27FC236}">
              <a16:creationId xmlns:a16="http://schemas.microsoft.com/office/drawing/2014/main" id="{F4B13EE4-5E9E-4751-B033-B4F3092CB719}"/>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74" name="TextBox 7173">
          <a:extLst>
            <a:ext uri="{FF2B5EF4-FFF2-40B4-BE49-F238E27FC236}">
              <a16:creationId xmlns:a16="http://schemas.microsoft.com/office/drawing/2014/main" id="{3513AF6A-F6FE-4B91-BB16-FC44B37508C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75" name="TextBox 7174">
          <a:extLst>
            <a:ext uri="{FF2B5EF4-FFF2-40B4-BE49-F238E27FC236}">
              <a16:creationId xmlns:a16="http://schemas.microsoft.com/office/drawing/2014/main" id="{89A4D9BB-7D58-470A-B9E5-AB820AB1871F}"/>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76" name="TextBox 7175">
          <a:extLst>
            <a:ext uri="{FF2B5EF4-FFF2-40B4-BE49-F238E27FC236}">
              <a16:creationId xmlns:a16="http://schemas.microsoft.com/office/drawing/2014/main" id="{CC0B07A2-A276-4806-B6D2-124175FB96F8}"/>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77" name="TextBox 7176">
          <a:extLst>
            <a:ext uri="{FF2B5EF4-FFF2-40B4-BE49-F238E27FC236}">
              <a16:creationId xmlns:a16="http://schemas.microsoft.com/office/drawing/2014/main" id="{DF66F9DF-8F2C-42EB-92C7-76B21F9CB6F3}"/>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78" name="TextBox 7177">
          <a:extLst>
            <a:ext uri="{FF2B5EF4-FFF2-40B4-BE49-F238E27FC236}">
              <a16:creationId xmlns:a16="http://schemas.microsoft.com/office/drawing/2014/main" id="{8E0ABD95-3F16-43CC-B265-0095BADF002E}"/>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79" name="TextBox 7178">
          <a:extLst>
            <a:ext uri="{FF2B5EF4-FFF2-40B4-BE49-F238E27FC236}">
              <a16:creationId xmlns:a16="http://schemas.microsoft.com/office/drawing/2014/main" id="{CD42209F-974D-45D0-A624-94C23734A6E6}"/>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80" name="TextBox 7179">
          <a:extLst>
            <a:ext uri="{FF2B5EF4-FFF2-40B4-BE49-F238E27FC236}">
              <a16:creationId xmlns:a16="http://schemas.microsoft.com/office/drawing/2014/main" id="{27C8C9AF-ED05-45FA-9068-9A42F1134787}"/>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81" name="TextBox 7180">
          <a:extLst>
            <a:ext uri="{FF2B5EF4-FFF2-40B4-BE49-F238E27FC236}">
              <a16:creationId xmlns:a16="http://schemas.microsoft.com/office/drawing/2014/main" id="{A0EDDAC8-68CD-49FF-95B0-13F9987E0E19}"/>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82" name="TextBox 7181">
          <a:extLst>
            <a:ext uri="{FF2B5EF4-FFF2-40B4-BE49-F238E27FC236}">
              <a16:creationId xmlns:a16="http://schemas.microsoft.com/office/drawing/2014/main" id="{A9B51438-9235-4498-BF41-E2C9387B0166}"/>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83" name="TextBox 7182">
          <a:extLst>
            <a:ext uri="{FF2B5EF4-FFF2-40B4-BE49-F238E27FC236}">
              <a16:creationId xmlns:a16="http://schemas.microsoft.com/office/drawing/2014/main" id="{FDD472D5-E424-469B-AEE8-D41198940163}"/>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84" name="TextBox 7183">
          <a:extLst>
            <a:ext uri="{FF2B5EF4-FFF2-40B4-BE49-F238E27FC236}">
              <a16:creationId xmlns:a16="http://schemas.microsoft.com/office/drawing/2014/main" id="{2620D0D1-18D7-4854-A586-63FBDC46CF56}"/>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85" name="TextBox 7184">
          <a:extLst>
            <a:ext uri="{FF2B5EF4-FFF2-40B4-BE49-F238E27FC236}">
              <a16:creationId xmlns:a16="http://schemas.microsoft.com/office/drawing/2014/main" id="{A2931468-7B31-4683-A6E9-E719511E89E9}"/>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86" name="TextBox 7185">
          <a:extLst>
            <a:ext uri="{FF2B5EF4-FFF2-40B4-BE49-F238E27FC236}">
              <a16:creationId xmlns:a16="http://schemas.microsoft.com/office/drawing/2014/main" id="{617F7D4E-686F-4134-8341-01E75E61017E}"/>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87" name="TextBox 7186">
          <a:extLst>
            <a:ext uri="{FF2B5EF4-FFF2-40B4-BE49-F238E27FC236}">
              <a16:creationId xmlns:a16="http://schemas.microsoft.com/office/drawing/2014/main" id="{F30DB9A4-E5C2-412C-914F-F88177E1512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88" name="TextBox 7187">
          <a:extLst>
            <a:ext uri="{FF2B5EF4-FFF2-40B4-BE49-F238E27FC236}">
              <a16:creationId xmlns:a16="http://schemas.microsoft.com/office/drawing/2014/main" id="{57E4964E-8056-4D48-91F4-44073729FA41}"/>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89" name="TextBox 7188">
          <a:extLst>
            <a:ext uri="{FF2B5EF4-FFF2-40B4-BE49-F238E27FC236}">
              <a16:creationId xmlns:a16="http://schemas.microsoft.com/office/drawing/2014/main" id="{4420B687-862B-4D83-BBB9-92BBC1E24FF8}"/>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90" name="TextBox 7189">
          <a:extLst>
            <a:ext uri="{FF2B5EF4-FFF2-40B4-BE49-F238E27FC236}">
              <a16:creationId xmlns:a16="http://schemas.microsoft.com/office/drawing/2014/main" id="{6109BB46-3D57-4B4E-A0C5-4516B4A09848}"/>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91" name="TextBox 7190">
          <a:extLst>
            <a:ext uri="{FF2B5EF4-FFF2-40B4-BE49-F238E27FC236}">
              <a16:creationId xmlns:a16="http://schemas.microsoft.com/office/drawing/2014/main" id="{931330DF-996B-40D1-8EA7-A33F1A9847F1}"/>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92" name="TextBox 7191">
          <a:extLst>
            <a:ext uri="{FF2B5EF4-FFF2-40B4-BE49-F238E27FC236}">
              <a16:creationId xmlns:a16="http://schemas.microsoft.com/office/drawing/2014/main" id="{6F2167C9-93AB-4792-B5E6-DAEA5D44FAEB}"/>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93" name="TextBox 7192">
          <a:extLst>
            <a:ext uri="{FF2B5EF4-FFF2-40B4-BE49-F238E27FC236}">
              <a16:creationId xmlns:a16="http://schemas.microsoft.com/office/drawing/2014/main" id="{8D4D4BDD-6A9F-42D5-BCFF-5E5982787906}"/>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94" name="TextBox 7193">
          <a:extLst>
            <a:ext uri="{FF2B5EF4-FFF2-40B4-BE49-F238E27FC236}">
              <a16:creationId xmlns:a16="http://schemas.microsoft.com/office/drawing/2014/main" id="{62AD9906-FE9B-4FDD-A68B-46CF95FA296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95" name="TextBox 7194">
          <a:extLst>
            <a:ext uri="{FF2B5EF4-FFF2-40B4-BE49-F238E27FC236}">
              <a16:creationId xmlns:a16="http://schemas.microsoft.com/office/drawing/2014/main" id="{6BC8A854-5CBB-44F6-8B90-EDC7538EE4AF}"/>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96" name="TextBox 7195">
          <a:extLst>
            <a:ext uri="{FF2B5EF4-FFF2-40B4-BE49-F238E27FC236}">
              <a16:creationId xmlns:a16="http://schemas.microsoft.com/office/drawing/2014/main" id="{9907CF70-944C-42CE-8419-D0A81F8E2998}"/>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97" name="TextBox 7196">
          <a:extLst>
            <a:ext uri="{FF2B5EF4-FFF2-40B4-BE49-F238E27FC236}">
              <a16:creationId xmlns:a16="http://schemas.microsoft.com/office/drawing/2014/main" id="{56ED5389-C0C4-4D4F-A161-8A097C1C622E}"/>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98" name="TextBox 7197">
          <a:extLst>
            <a:ext uri="{FF2B5EF4-FFF2-40B4-BE49-F238E27FC236}">
              <a16:creationId xmlns:a16="http://schemas.microsoft.com/office/drawing/2014/main" id="{FECFA0CA-7D4C-47C5-AB1E-790708CC03C6}"/>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199" name="TextBox 7198">
          <a:extLst>
            <a:ext uri="{FF2B5EF4-FFF2-40B4-BE49-F238E27FC236}">
              <a16:creationId xmlns:a16="http://schemas.microsoft.com/office/drawing/2014/main" id="{C7A02519-07BC-4311-8FC7-800DA9129D9B}"/>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200" name="TextBox 7199">
          <a:extLst>
            <a:ext uri="{FF2B5EF4-FFF2-40B4-BE49-F238E27FC236}">
              <a16:creationId xmlns:a16="http://schemas.microsoft.com/office/drawing/2014/main" id="{AEFF34D7-148C-4CCB-A0D8-19F37B544AC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201" name="TextBox 7200">
          <a:extLst>
            <a:ext uri="{FF2B5EF4-FFF2-40B4-BE49-F238E27FC236}">
              <a16:creationId xmlns:a16="http://schemas.microsoft.com/office/drawing/2014/main" id="{92785E8F-D40C-45DF-A7AE-AC027255B736}"/>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202" name="TextBox 7201">
          <a:extLst>
            <a:ext uri="{FF2B5EF4-FFF2-40B4-BE49-F238E27FC236}">
              <a16:creationId xmlns:a16="http://schemas.microsoft.com/office/drawing/2014/main" id="{604A7D7D-6D81-4BE7-9ABC-725A42F9E1EA}"/>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203" name="TextBox 7202">
          <a:extLst>
            <a:ext uri="{FF2B5EF4-FFF2-40B4-BE49-F238E27FC236}">
              <a16:creationId xmlns:a16="http://schemas.microsoft.com/office/drawing/2014/main" id="{BFB11F25-1BBB-4DE5-A5B9-64AF144729C2}"/>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204" name="TextBox 7203">
          <a:extLst>
            <a:ext uri="{FF2B5EF4-FFF2-40B4-BE49-F238E27FC236}">
              <a16:creationId xmlns:a16="http://schemas.microsoft.com/office/drawing/2014/main" id="{4CBFE059-8EE1-4A97-B2E4-DA16EFD3761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205" name="TextBox 7204">
          <a:extLst>
            <a:ext uri="{FF2B5EF4-FFF2-40B4-BE49-F238E27FC236}">
              <a16:creationId xmlns:a16="http://schemas.microsoft.com/office/drawing/2014/main" id="{FCA7E1FD-61F9-4289-95A4-DD486F9A9080}"/>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206" name="TextBox 7205">
          <a:extLst>
            <a:ext uri="{FF2B5EF4-FFF2-40B4-BE49-F238E27FC236}">
              <a16:creationId xmlns:a16="http://schemas.microsoft.com/office/drawing/2014/main" id="{348F6862-8E58-4046-8D32-99DF9E91ACAC}"/>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207" name="TextBox 7206">
          <a:extLst>
            <a:ext uri="{FF2B5EF4-FFF2-40B4-BE49-F238E27FC236}">
              <a16:creationId xmlns:a16="http://schemas.microsoft.com/office/drawing/2014/main" id="{34FDD654-E638-4FF7-82BC-790A9BF967AE}"/>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208" name="TextBox 7207">
          <a:extLst>
            <a:ext uri="{FF2B5EF4-FFF2-40B4-BE49-F238E27FC236}">
              <a16:creationId xmlns:a16="http://schemas.microsoft.com/office/drawing/2014/main" id="{A5DA0E4C-9A9B-460A-9EEA-20236D3CD2BF}"/>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209" name="TextBox 7208">
          <a:extLst>
            <a:ext uri="{FF2B5EF4-FFF2-40B4-BE49-F238E27FC236}">
              <a16:creationId xmlns:a16="http://schemas.microsoft.com/office/drawing/2014/main" id="{E165643A-B43B-4C9A-9B54-7139E29076C2}"/>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210" name="TextBox 7209">
          <a:extLst>
            <a:ext uri="{FF2B5EF4-FFF2-40B4-BE49-F238E27FC236}">
              <a16:creationId xmlns:a16="http://schemas.microsoft.com/office/drawing/2014/main" id="{3714FD61-D1A2-4BD0-9B73-8B1B0843126D}"/>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211" name="TextBox 7210">
          <a:extLst>
            <a:ext uri="{FF2B5EF4-FFF2-40B4-BE49-F238E27FC236}">
              <a16:creationId xmlns:a16="http://schemas.microsoft.com/office/drawing/2014/main" id="{4686F77C-EFB1-4701-9CCA-482CB458B522}"/>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212" name="TextBox 7211">
          <a:extLst>
            <a:ext uri="{FF2B5EF4-FFF2-40B4-BE49-F238E27FC236}">
              <a16:creationId xmlns:a16="http://schemas.microsoft.com/office/drawing/2014/main" id="{1CA4B930-A62D-4FA9-AD46-2CC8DCC9A732}"/>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213" name="TextBox 7212">
          <a:extLst>
            <a:ext uri="{FF2B5EF4-FFF2-40B4-BE49-F238E27FC236}">
              <a16:creationId xmlns:a16="http://schemas.microsoft.com/office/drawing/2014/main" id="{9A1EDD94-C686-4D34-A913-92C621E64D1B}"/>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214" name="TextBox 7213">
          <a:extLst>
            <a:ext uri="{FF2B5EF4-FFF2-40B4-BE49-F238E27FC236}">
              <a16:creationId xmlns:a16="http://schemas.microsoft.com/office/drawing/2014/main" id="{4DB473FD-AE79-41FB-BBA2-A751D013D672}"/>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4</xdr:col>
      <xdr:colOff>609600</xdr:colOff>
      <xdr:row>170</xdr:row>
      <xdr:rowOff>0</xdr:rowOff>
    </xdr:from>
    <xdr:ext cx="65" cy="172227"/>
    <xdr:sp macro="" textlink="">
      <xdr:nvSpPr>
        <xdr:cNvPr id="7215" name="TextBox 7214">
          <a:extLst>
            <a:ext uri="{FF2B5EF4-FFF2-40B4-BE49-F238E27FC236}">
              <a16:creationId xmlns:a16="http://schemas.microsoft.com/office/drawing/2014/main" id="{CAC6F1F5-0318-4EF1-A17E-9713993C0275}"/>
            </a:ext>
          </a:extLst>
        </xdr:cNvPr>
        <xdr:cNvSpPr txBox="1"/>
      </xdr:nvSpPr>
      <xdr:spPr>
        <a:xfrm>
          <a:off x="826770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7216" name="TextBox 7215">
          <a:extLst>
            <a:ext uri="{FF2B5EF4-FFF2-40B4-BE49-F238E27FC236}">
              <a16:creationId xmlns:a16="http://schemas.microsoft.com/office/drawing/2014/main" id="{2BEB2C9B-4E37-4D83-978B-6944A85550D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7217" name="TextBox 7216">
          <a:extLst>
            <a:ext uri="{FF2B5EF4-FFF2-40B4-BE49-F238E27FC236}">
              <a16:creationId xmlns:a16="http://schemas.microsoft.com/office/drawing/2014/main" id="{CD550287-B34D-4E1D-BBEF-D03695FD0054}"/>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7218" name="TextBox 7217">
          <a:extLst>
            <a:ext uri="{FF2B5EF4-FFF2-40B4-BE49-F238E27FC236}">
              <a16:creationId xmlns:a16="http://schemas.microsoft.com/office/drawing/2014/main" id="{F2ABC44F-5B97-457A-B962-D1359A380D71}"/>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7219" name="TextBox 7218">
          <a:extLst>
            <a:ext uri="{FF2B5EF4-FFF2-40B4-BE49-F238E27FC236}">
              <a16:creationId xmlns:a16="http://schemas.microsoft.com/office/drawing/2014/main" id="{96939F3D-72FB-4C1C-BD3C-89A06B46C24E}"/>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7220" name="TextBox 7219">
          <a:extLst>
            <a:ext uri="{FF2B5EF4-FFF2-40B4-BE49-F238E27FC236}">
              <a16:creationId xmlns:a16="http://schemas.microsoft.com/office/drawing/2014/main" id="{94BF90D1-7C17-4662-B78F-32897ABFA19F}"/>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7221" name="TextBox 7220">
          <a:extLst>
            <a:ext uri="{FF2B5EF4-FFF2-40B4-BE49-F238E27FC236}">
              <a16:creationId xmlns:a16="http://schemas.microsoft.com/office/drawing/2014/main" id="{453A51B0-4712-453A-A36D-8862511F2541}"/>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7222" name="TextBox 7221">
          <a:extLst>
            <a:ext uri="{FF2B5EF4-FFF2-40B4-BE49-F238E27FC236}">
              <a16:creationId xmlns:a16="http://schemas.microsoft.com/office/drawing/2014/main" id="{F5236698-E5D3-47AA-81EA-AAFF7BC49F1C}"/>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7223" name="TextBox 7222">
          <a:extLst>
            <a:ext uri="{FF2B5EF4-FFF2-40B4-BE49-F238E27FC236}">
              <a16:creationId xmlns:a16="http://schemas.microsoft.com/office/drawing/2014/main" id="{CB6F6FBB-D31C-4DF2-B5CF-F6F8F99341BE}"/>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7224" name="TextBox 7223">
          <a:extLst>
            <a:ext uri="{FF2B5EF4-FFF2-40B4-BE49-F238E27FC236}">
              <a16:creationId xmlns:a16="http://schemas.microsoft.com/office/drawing/2014/main" id="{0E6EA0E6-3896-40AA-B2F5-8272253CCA84}"/>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7225" name="TextBox 7224">
          <a:extLst>
            <a:ext uri="{FF2B5EF4-FFF2-40B4-BE49-F238E27FC236}">
              <a16:creationId xmlns:a16="http://schemas.microsoft.com/office/drawing/2014/main" id="{714A34DF-3BC7-48BE-A8E1-0A382AB25D98}"/>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7226" name="TextBox 7225">
          <a:extLst>
            <a:ext uri="{FF2B5EF4-FFF2-40B4-BE49-F238E27FC236}">
              <a16:creationId xmlns:a16="http://schemas.microsoft.com/office/drawing/2014/main" id="{0EE264F1-325D-4E80-827F-A7CDBEE7E2B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7227" name="TextBox 7226">
          <a:extLst>
            <a:ext uri="{FF2B5EF4-FFF2-40B4-BE49-F238E27FC236}">
              <a16:creationId xmlns:a16="http://schemas.microsoft.com/office/drawing/2014/main" id="{8DFCAF67-A970-4779-9B1E-334B183D9E9C}"/>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7228" name="TextBox 7227">
          <a:extLst>
            <a:ext uri="{FF2B5EF4-FFF2-40B4-BE49-F238E27FC236}">
              <a16:creationId xmlns:a16="http://schemas.microsoft.com/office/drawing/2014/main" id="{1721DFB1-C856-46DE-8B52-1459DC12DC1F}"/>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7229" name="TextBox 7228">
          <a:extLst>
            <a:ext uri="{FF2B5EF4-FFF2-40B4-BE49-F238E27FC236}">
              <a16:creationId xmlns:a16="http://schemas.microsoft.com/office/drawing/2014/main" id="{EAD93977-2B6C-48AF-88BE-D3EEF076B82F}"/>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7230" name="TextBox 7229">
          <a:extLst>
            <a:ext uri="{FF2B5EF4-FFF2-40B4-BE49-F238E27FC236}">
              <a16:creationId xmlns:a16="http://schemas.microsoft.com/office/drawing/2014/main" id="{FBB54F66-6C42-4482-B2E7-7384E314B0A0}"/>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7231" name="TextBox 7230">
          <a:extLst>
            <a:ext uri="{FF2B5EF4-FFF2-40B4-BE49-F238E27FC236}">
              <a16:creationId xmlns:a16="http://schemas.microsoft.com/office/drawing/2014/main" id="{AEE8C017-5A75-4A1A-8541-8CAA7A85887F}"/>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7232" name="TextBox 7231">
          <a:extLst>
            <a:ext uri="{FF2B5EF4-FFF2-40B4-BE49-F238E27FC236}">
              <a16:creationId xmlns:a16="http://schemas.microsoft.com/office/drawing/2014/main" id="{15CB6B7A-8903-4D46-B303-C78122F98AFA}"/>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7233" name="TextBox 7232">
          <a:extLst>
            <a:ext uri="{FF2B5EF4-FFF2-40B4-BE49-F238E27FC236}">
              <a16:creationId xmlns:a16="http://schemas.microsoft.com/office/drawing/2014/main" id="{06B77017-1B83-4828-A6CD-A70B1530F846}"/>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7234" name="TextBox 7233">
          <a:extLst>
            <a:ext uri="{FF2B5EF4-FFF2-40B4-BE49-F238E27FC236}">
              <a16:creationId xmlns:a16="http://schemas.microsoft.com/office/drawing/2014/main" id="{185D6A4C-28D0-4083-911A-BC73150EED28}"/>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7235" name="TextBox 7234">
          <a:extLst>
            <a:ext uri="{FF2B5EF4-FFF2-40B4-BE49-F238E27FC236}">
              <a16:creationId xmlns:a16="http://schemas.microsoft.com/office/drawing/2014/main" id="{3791A6DE-A1C2-47DA-AD48-A46C3A2C9FDA}"/>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7236" name="TextBox 7235">
          <a:extLst>
            <a:ext uri="{FF2B5EF4-FFF2-40B4-BE49-F238E27FC236}">
              <a16:creationId xmlns:a16="http://schemas.microsoft.com/office/drawing/2014/main" id="{81CE3CB0-7E4E-4E55-A8CA-42556C1B97B2}"/>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7</xdr:col>
      <xdr:colOff>609600</xdr:colOff>
      <xdr:row>170</xdr:row>
      <xdr:rowOff>0</xdr:rowOff>
    </xdr:from>
    <xdr:ext cx="65" cy="172227"/>
    <xdr:sp macro="" textlink="">
      <xdr:nvSpPr>
        <xdr:cNvPr id="7237" name="TextBox 7236">
          <a:extLst>
            <a:ext uri="{FF2B5EF4-FFF2-40B4-BE49-F238E27FC236}">
              <a16:creationId xmlns:a16="http://schemas.microsoft.com/office/drawing/2014/main" id="{4A007D76-46C2-4D13-B1B5-5850A74D5AB2}"/>
            </a:ext>
          </a:extLst>
        </xdr:cNvPr>
        <xdr:cNvSpPr txBox="1"/>
      </xdr:nvSpPr>
      <xdr:spPr>
        <a:xfrm>
          <a:off x="12580620" y="365836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twoCellAnchor>
    <xdr:from>
      <xdr:col>1</xdr:col>
      <xdr:colOff>42333</xdr:colOff>
      <xdr:row>116</xdr:row>
      <xdr:rowOff>139700</xdr:rowOff>
    </xdr:from>
    <xdr:to>
      <xdr:col>7</xdr:col>
      <xdr:colOff>2125132</xdr:colOff>
      <xdr:row>132</xdr:row>
      <xdr:rowOff>93134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127000</xdr:colOff>
      <xdr:row>14</xdr:row>
      <xdr:rowOff>29633</xdr:rowOff>
    </xdr:from>
    <xdr:to>
      <xdr:col>9</xdr:col>
      <xdr:colOff>431800</xdr:colOff>
      <xdr:row>28</xdr:row>
      <xdr:rowOff>165100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164</xdr:row>
      <xdr:rowOff>0</xdr:rowOff>
    </xdr:from>
    <xdr:ext cx="65" cy="172227"/>
    <xdr:sp macro="" textlink="">
      <xdr:nvSpPr>
        <xdr:cNvPr id="5" name="TextBox 4">
          <a:extLst>
            <a:ext uri="{FF2B5EF4-FFF2-40B4-BE49-F238E27FC236}">
              <a16:creationId xmlns:a16="http://schemas.microsoft.com/office/drawing/2014/main" id="{00000000-0008-0000-0000-000007000000}"/>
            </a:ext>
          </a:extLst>
        </xdr:cNvPr>
        <xdr:cNvSpPr txBox="1"/>
      </xdr:nvSpPr>
      <xdr:spPr>
        <a:xfrm>
          <a:off x="8267700" y="33093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164</xdr:row>
      <xdr:rowOff>0</xdr:rowOff>
    </xdr:from>
    <xdr:ext cx="65" cy="172227"/>
    <xdr:sp macro="" textlink="">
      <xdr:nvSpPr>
        <xdr:cNvPr id="9" name="TextBox 8">
          <a:extLst>
            <a:ext uri="{FF2B5EF4-FFF2-40B4-BE49-F238E27FC236}">
              <a16:creationId xmlns:a16="http://schemas.microsoft.com/office/drawing/2014/main" id="{00000000-0008-0000-0000-000007000000}"/>
            </a:ext>
          </a:extLst>
        </xdr:cNvPr>
        <xdr:cNvSpPr txBox="1"/>
      </xdr:nvSpPr>
      <xdr:spPr>
        <a:xfrm>
          <a:off x="8267700" y="33093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10" name="TextBox 9">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11" name="TextBox 10">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2" name="TextBox 11">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3" name="TextBox 12">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4" name="TextBox 1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5" name="TextBox 1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6" name="TextBox 1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7" name="TextBox 1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8" name="TextBox 1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19" name="TextBox 1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20" name="TextBox 1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21" name="TextBox 2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22" name="TextBox 2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23" name="TextBox 2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24" name="TextBox 23">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172</xdr:row>
      <xdr:rowOff>0</xdr:rowOff>
    </xdr:from>
    <xdr:ext cx="65" cy="172227"/>
    <xdr:sp macro="" textlink="">
      <xdr:nvSpPr>
        <xdr:cNvPr id="25" name="TextBox 24">
          <a:extLst>
            <a:ext uri="{FF2B5EF4-FFF2-40B4-BE49-F238E27FC236}">
              <a16:creationId xmlns:a16="http://schemas.microsoft.com/office/drawing/2014/main" id="{00000000-0008-0000-0000-000007000000}"/>
            </a:ext>
          </a:extLst>
        </xdr:cNvPr>
        <xdr:cNvSpPr txBox="1"/>
      </xdr:nvSpPr>
      <xdr:spPr>
        <a:xfrm>
          <a:off x="8267700" y="34663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173</xdr:row>
      <xdr:rowOff>0</xdr:rowOff>
    </xdr:from>
    <xdr:ext cx="65" cy="172227"/>
    <xdr:sp macro="" textlink="">
      <xdr:nvSpPr>
        <xdr:cNvPr id="26" name="TextBox 25">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173</xdr:row>
      <xdr:rowOff>0</xdr:rowOff>
    </xdr:from>
    <xdr:ext cx="65" cy="172227"/>
    <xdr:sp macro="" textlink="">
      <xdr:nvSpPr>
        <xdr:cNvPr id="27" name="TextBox 26">
          <a:extLst>
            <a:ext uri="{FF2B5EF4-FFF2-40B4-BE49-F238E27FC236}">
              <a16:creationId xmlns:a16="http://schemas.microsoft.com/office/drawing/2014/main" id="{00000000-0008-0000-0000-000007000000}"/>
            </a:ext>
          </a:extLst>
        </xdr:cNvPr>
        <xdr:cNvSpPr txBox="1"/>
      </xdr:nvSpPr>
      <xdr:spPr>
        <a:xfrm>
          <a:off x="8267700" y="34846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28" name="TextBox 27">
          <a:extLst>
            <a:ext uri="{FF2B5EF4-FFF2-40B4-BE49-F238E27FC236}">
              <a16:creationId xmlns:a16="http://schemas.microsoft.com/office/drawing/2014/main" id="{00000000-0008-0000-0000-000007000000}"/>
            </a:ext>
          </a:extLst>
        </xdr:cNvPr>
        <xdr:cNvSpPr txBox="1"/>
      </xdr:nvSpPr>
      <xdr:spPr>
        <a:xfrm>
          <a:off x="8267700" y="35943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179</xdr:row>
      <xdr:rowOff>0</xdr:rowOff>
    </xdr:from>
    <xdr:ext cx="65" cy="172227"/>
    <xdr:sp macro="" textlink="">
      <xdr:nvSpPr>
        <xdr:cNvPr id="29" name="TextBox 28">
          <a:extLst>
            <a:ext uri="{FF2B5EF4-FFF2-40B4-BE49-F238E27FC236}">
              <a16:creationId xmlns:a16="http://schemas.microsoft.com/office/drawing/2014/main" id="{00000000-0008-0000-0000-000007000000}"/>
            </a:ext>
          </a:extLst>
        </xdr:cNvPr>
        <xdr:cNvSpPr txBox="1"/>
      </xdr:nvSpPr>
      <xdr:spPr>
        <a:xfrm>
          <a:off x="8267700" y="35943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30" name="TextBox 29">
          <a:extLst>
            <a:ext uri="{FF2B5EF4-FFF2-40B4-BE49-F238E27FC236}">
              <a16:creationId xmlns:a16="http://schemas.microsoft.com/office/drawing/2014/main" id="{00000000-0008-0000-0000-000007000000}"/>
            </a:ext>
          </a:extLst>
        </xdr:cNvPr>
        <xdr:cNvSpPr txBox="1"/>
      </xdr:nvSpPr>
      <xdr:spPr>
        <a:xfrm>
          <a:off x="8267700" y="3612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180</xdr:row>
      <xdr:rowOff>0</xdr:rowOff>
    </xdr:from>
    <xdr:ext cx="65" cy="172227"/>
    <xdr:sp macro="" textlink="">
      <xdr:nvSpPr>
        <xdr:cNvPr id="31" name="TextBox 30">
          <a:extLst>
            <a:ext uri="{FF2B5EF4-FFF2-40B4-BE49-F238E27FC236}">
              <a16:creationId xmlns:a16="http://schemas.microsoft.com/office/drawing/2014/main" id="{00000000-0008-0000-0000-000007000000}"/>
            </a:ext>
          </a:extLst>
        </xdr:cNvPr>
        <xdr:cNvSpPr txBox="1"/>
      </xdr:nvSpPr>
      <xdr:spPr>
        <a:xfrm>
          <a:off x="8267700" y="361264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32" name="TextBox 31">
          <a:extLst>
            <a:ext uri="{FF2B5EF4-FFF2-40B4-BE49-F238E27FC236}">
              <a16:creationId xmlns:a16="http://schemas.microsoft.com/office/drawing/2014/main" id="{00000000-0008-0000-0000-000007000000}"/>
            </a:ext>
          </a:extLst>
        </xdr:cNvPr>
        <xdr:cNvSpPr txBox="1"/>
      </xdr:nvSpPr>
      <xdr:spPr>
        <a:xfrm>
          <a:off x="8267700" y="36309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181</xdr:row>
      <xdr:rowOff>0</xdr:rowOff>
    </xdr:from>
    <xdr:ext cx="65" cy="172227"/>
    <xdr:sp macro="" textlink="">
      <xdr:nvSpPr>
        <xdr:cNvPr id="33" name="TextBox 32">
          <a:extLst>
            <a:ext uri="{FF2B5EF4-FFF2-40B4-BE49-F238E27FC236}">
              <a16:creationId xmlns:a16="http://schemas.microsoft.com/office/drawing/2014/main" id="{00000000-0008-0000-0000-000007000000}"/>
            </a:ext>
          </a:extLst>
        </xdr:cNvPr>
        <xdr:cNvSpPr txBox="1"/>
      </xdr:nvSpPr>
      <xdr:spPr>
        <a:xfrm>
          <a:off x="8267700" y="36309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34" name="TextBox 33">
          <a:extLst>
            <a:ext uri="{FF2B5EF4-FFF2-40B4-BE49-F238E27FC236}">
              <a16:creationId xmlns:a16="http://schemas.microsoft.com/office/drawing/2014/main" id="{00000000-0008-0000-0000-000007000000}"/>
            </a:ext>
          </a:extLst>
        </xdr:cNvPr>
        <xdr:cNvSpPr txBox="1"/>
      </xdr:nvSpPr>
      <xdr:spPr>
        <a:xfrm>
          <a:off x="8267700" y="36492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182</xdr:row>
      <xdr:rowOff>0</xdr:rowOff>
    </xdr:from>
    <xdr:ext cx="65" cy="172227"/>
    <xdr:sp macro="" textlink="">
      <xdr:nvSpPr>
        <xdr:cNvPr id="35" name="TextBox 34">
          <a:extLst>
            <a:ext uri="{FF2B5EF4-FFF2-40B4-BE49-F238E27FC236}">
              <a16:creationId xmlns:a16="http://schemas.microsoft.com/office/drawing/2014/main" id="{00000000-0008-0000-0000-000007000000}"/>
            </a:ext>
          </a:extLst>
        </xdr:cNvPr>
        <xdr:cNvSpPr txBox="1"/>
      </xdr:nvSpPr>
      <xdr:spPr>
        <a:xfrm>
          <a:off x="8267700" y="36492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183</xdr:row>
      <xdr:rowOff>0</xdr:rowOff>
    </xdr:from>
    <xdr:ext cx="65" cy="172227"/>
    <xdr:sp macro="" textlink="">
      <xdr:nvSpPr>
        <xdr:cNvPr id="36" name="TextBox 35">
          <a:extLst>
            <a:ext uri="{FF2B5EF4-FFF2-40B4-BE49-F238E27FC236}">
              <a16:creationId xmlns:a16="http://schemas.microsoft.com/office/drawing/2014/main" id="{00000000-0008-0000-0000-000007000000}"/>
            </a:ext>
          </a:extLst>
        </xdr:cNvPr>
        <xdr:cNvSpPr txBox="1"/>
      </xdr:nvSpPr>
      <xdr:spPr>
        <a:xfrm>
          <a:off x="8267700" y="36675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183</xdr:row>
      <xdr:rowOff>0</xdr:rowOff>
    </xdr:from>
    <xdr:ext cx="65" cy="172227"/>
    <xdr:sp macro="" textlink="">
      <xdr:nvSpPr>
        <xdr:cNvPr id="37" name="TextBox 36">
          <a:extLst>
            <a:ext uri="{FF2B5EF4-FFF2-40B4-BE49-F238E27FC236}">
              <a16:creationId xmlns:a16="http://schemas.microsoft.com/office/drawing/2014/main" id="{00000000-0008-0000-0000-000007000000}"/>
            </a:ext>
          </a:extLst>
        </xdr:cNvPr>
        <xdr:cNvSpPr txBox="1"/>
      </xdr:nvSpPr>
      <xdr:spPr>
        <a:xfrm>
          <a:off x="8267700" y="366750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189</xdr:row>
      <xdr:rowOff>0</xdr:rowOff>
    </xdr:from>
    <xdr:ext cx="65" cy="172227"/>
    <xdr:sp macro="" textlink="">
      <xdr:nvSpPr>
        <xdr:cNvPr id="38" name="TextBox 37">
          <a:extLst>
            <a:ext uri="{FF2B5EF4-FFF2-40B4-BE49-F238E27FC236}">
              <a16:creationId xmlns:a16="http://schemas.microsoft.com/office/drawing/2014/main" id="{00000000-0008-0000-0000-000007000000}"/>
            </a:ext>
          </a:extLst>
        </xdr:cNvPr>
        <xdr:cNvSpPr txBox="1"/>
      </xdr:nvSpPr>
      <xdr:spPr>
        <a:xfrm>
          <a:off x="8267700" y="3777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189</xdr:row>
      <xdr:rowOff>0</xdr:rowOff>
    </xdr:from>
    <xdr:ext cx="65" cy="172227"/>
    <xdr:sp macro="" textlink="">
      <xdr:nvSpPr>
        <xdr:cNvPr id="39" name="TextBox 38">
          <a:extLst>
            <a:ext uri="{FF2B5EF4-FFF2-40B4-BE49-F238E27FC236}">
              <a16:creationId xmlns:a16="http://schemas.microsoft.com/office/drawing/2014/main" id="{00000000-0008-0000-0000-000007000000}"/>
            </a:ext>
          </a:extLst>
        </xdr:cNvPr>
        <xdr:cNvSpPr txBox="1"/>
      </xdr:nvSpPr>
      <xdr:spPr>
        <a:xfrm>
          <a:off x="8267700" y="377723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190</xdr:row>
      <xdr:rowOff>0</xdr:rowOff>
    </xdr:from>
    <xdr:ext cx="65" cy="172227"/>
    <xdr:sp macro="" textlink="">
      <xdr:nvSpPr>
        <xdr:cNvPr id="40" name="TextBox 39">
          <a:extLst>
            <a:ext uri="{FF2B5EF4-FFF2-40B4-BE49-F238E27FC236}">
              <a16:creationId xmlns:a16="http://schemas.microsoft.com/office/drawing/2014/main" id="{00000000-0008-0000-0000-000007000000}"/>
            </a:ext>
          </a:extLst>
        </xdr:cNvPr>
        <xdr:cNvSpPr txBox="1"/>
      </xdr:nvSpPr>
      <xdr:spPr>
        <a:xfrm>
          <a:off x="8267700" y="3795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190</xdr:row>
      <xdr:rowOff>0</xdr:rowOff>
    </xdr:from>
    <xdr:ext cx="65" cy="172227"/>
    <xdr:sp macro="" textlink="">
      <xdr:nvSpPr>
        <xdr:cNvPr id="41" name="TextBox 40">
          <a:extLst>
            <a:ext uri="{FF2B5EF4-FFF2-40B4-BE49-F238E27FC236}">
              <a16:creationId xmlns:a16="http://schemas.microsoft.com/office/drawing/2014/main" id="{00000000-0008-0000-0000-000007000000}"/>
            </a:ext>
          </a:extLst>
        </xdr:cNvPr>
        <xdr:cNvSpPr txBox="1"/>
      </xdr:nvSpPr>
      <xdr:spPr>
        <a:xfrm>
          <a:off x="8267700" y="379552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191</xdr:row>
      <xdr:rowOff>0</xdr:rowOff>
    </xdr:from>
    <xdr:ext cx="65" cy="172227"/>
    <xdr:sp macro="" textlink="">
      <xdr:nvSpPr>
        <xdr:cNvPr id="42" name="TextBox 41">
          <a:extLst>
            <a:ext uri="{FF2B5EF4-FFF2-40B4-BE49-F238E27FC236}">
              <a16:creationId xmlns:a16="http://schemas.microsoft.com/office/drawing/2014/main" id="{00000000-0008-0000-0000-000007000000}"/>
            </a:ext>
          </a:extLst>
        </xdr:cNvPr>
        <xdr:cNvSpPr txBox="1"/>
      </xdr:nvSpPr>
      <xdr:spPr>
        <a:xfrm>
          <a:off x="8267700" y="38138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191</xdr:row>
      <xdr:rowOff>0</xdr:rowOff>
    </xdr:from>
    <xdr:ext cx="65" cy="172227"/>
    <xdr:sp macro="" textlink="">
      <xdr:nvSpPr>
        <xdr:cNvPr id="43" name="TextBox 42">
          <a:extLst>
            <a:ext uri="{FF2B5EF4-FFF2-40B4-BE49-F238E27FC236}">
              <a16:creationId xmlns:a16="http://schemas.microsoft.com/office/drawing/2014/main" id="{00000000-0008-0000-0000-000007000000}"/>
            </a:ext>
          </a:extLst>
        </xdr:cNvPr>
        <xdr:cNvSpPr txBox="1"/>
      </xdr:nvSpPr>
      <xdr:spPr>
        <a:xfrm>
          <a:off x="8267700" y="38138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192</xdr:row>
      <xdr:rowOff>0</xdr:rowOff>
    </xdr:from>
    <xdr:ext cx="65" cy="172227"/>
    <xdr:sp macro="" textlink="">
      <xdr:nvSpPr>
        <xdr:cNvPr id="44" name="TextBox 43">
          <a:extLst>
            <a:ext uri="{FF2B5EF4-FFF2-40B4-BE49-F238E27FC236}">
              <a16:creationId xmlns:a16="http://schemas.microsoft.com/office/drawing/2014/main" id="{00000000-0008-0000-0000-000007000000}"/>
            </a:ext>
          </a:extLst>
        </xdr:cNvPr>
        <xdr:cNvSpPr txBox="1"/>
      </xdr:nvSpPr>
      <xdr:spPr>
        <a:xfrm>
          <a:off x="8267700" y="3832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192</xdr:row>
      <xdr:rowOff>0</xdr:rowOff>
    </xdr:from>
    <xdr:ext cx="65" cy="172227"/>
    <xdr:sp macro="" textlink="">
      <xdr:nvSpPr>
        <xdr:cNvPr id="45" name="TextBox 44">
          <a:extLst>
            <a:ext uri="{FF2B5EF4-FFF2-40B4-BE49-F238E27FC236}">
              <a16:creationId xmlns:a16="http://schemas.microsoft.com/office/drawing/2014/main" id="{00000000-0008-0000-0000-000007000000}"/>
            </a:ext>
          </a:extLst>
        </xdr:cNvPr>
        <xdr:cNvSpPr txBox="1"/>
      </xdr:nvSpPr>
      <xdr:spPr>
        <a:xfrm>
          <a:off x="8267700" y="3832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193</xdr:row>
      <xdr:rowOff>0</xdr:rowOff>
    </xdr:from>
    <xdr:ext cx="65" cy="172227"/>
    <xdr:sp macro="" textlink="">
      <xdr:nvSpPr>
        <xdr:cNvPr id="46" name="TextBox 45">
          <a:extLst>
            <a:ext uri="{FF2B5EF4-FFF2-40B4-BE49-F238E27FC236}">
              <a16:creationId xmlns:a16="http://schemas.microsoft.com/office/drawing/2014/main" id="{00000000-0008-0000-0000-000007000000}"/>
            </a:ext>
          </a:extLst>
        </xdr:cNvPr>
        <xdr:cNvSpPr txBox="1"/>
      </xdr:nvSpPr>
      <xdr:spPr>
        <a:xfrm>
          <a:off x="8267700" y="38503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193</xdr:row>
      <xdr:rowOff>0</xdr:rowOff>
    </xdr:from>
    <xdr:ext cx="65" cy="172227"/>
    <xdr:sp macro="" textlink="">
      <xdr:nvSpPr>
        <xdr:cNvPr id="47" name="TextBox 46">
          <a:extLst>
            <a:ext uri="{FF2B5EF4-FFF2-40B4-BE49-F238E27FC236}">
              <a16:creationId xmlns:a16="http://schemas.microsoft.com/office/drawing/2014/main" id="{00000000-0008-0000-0000-000007000000}"/>
            </a:ext>
          </a:extLst>
        </xdr:cNvPr>
        <xdr:cNvSpPr txBox="1"/>
      </xdr:nvSpPr>
      <xdr:spPr>
        <a:xfrm>
          <a:off x="8267700" y="385038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48" name="TextBox 47">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49" name="TextBox 48">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0" name="TextBox 49">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1" name="TextBox 50">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2" name="TextBox 51">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3" name="TextBox 52">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4" name="TextBox 53">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5" name="TextBox 54">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6" name="TextBox 55">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7" name="TextBox 56">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8" name="TextBox 57">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59" name="TextBox 58">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0" name="TextBox 59">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1" name="TextBox 60">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2" name="TextBox 61">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3" name="TextBox 62">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4" name="TextBox 63">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5" name="TextBox 64">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6" name="TextBox 65">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197</xdr:row>
      <xdr:rowOff>0</xdr:rowOff>
    </xdr:from>
    <xdr:ext cx="65" cy="172227"/>
    <xdr:sp macro="" textlink="">
      <xdr:nvSpPr>
        <xdr:cNvPr id="67" name="TextBox 66">
          <a:extLst>
            <a:ext uri="{FF2B5EF4-FFF2-40B4-BE49-F238E27FC236}">
              <a16:creationId xmlns:a16="http://schemas.microsoft.com/office/drawing/2014/main" id="{00000000-0008-0000-0000-000007000000}"/>
            </a:ext>
          </a:extLst>
        </xdr:cNvPr>
        <xdr:cNvSpPr txBox="1"/>
      </xdr:nvSpPr>
      <xdr:spPr>
        <a:xfrm>
          <a:off x="8267700" y="39235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8" name="TextBox 67">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69" name="TextBox 68">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0" name="TextBox 69">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71" name="TextBox 70">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2" name="TextBox 7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3" name="TextBox 7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4" name="TextBox 7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75" name="TextBox 7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6" name="TextBox 75">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77" name="TextBox 76">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8" name="TextBox 77">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79" name="TextBox 78">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80" name="TextBox 79">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81" name="TextBox 80">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82" name="TextBox 81">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83" name="TextBox 82">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84" name="TextBox 8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85" name="TextBox 8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86" name="TextBox 85">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87" name="TextBox 86">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88" name="TextBox 87">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89" name="TextBox 88">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90" name="TextBox 89">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91" name="TextBox 90">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92" name="TextBox 91">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93" name="TextBox 92">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94" name="TextBox 93">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95" name="TextBox 94">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96" name="TextBox 95">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97" name="TextBox 96">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98" name="TextBox 97">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99" name="TextBox 98">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0" name="TextBox 99">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1" name="TextBox 100">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2" name="TextBox 101">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3" name="TextBox 102">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4" name="TextBox 103">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5" name="TextBox 104">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6" name="TextBox 105">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7" name="TextBox 106">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8" name="TextBox 107">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09" name="TextBox 108">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0" name="TextBox 109">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1" name="TextBox 110">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2" name="TextBox 111">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3" name="TextBox 112">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4" name="TextBox 113">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5" name="TextBox 114">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6" name="TextBox 115">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17" name="TextBox 116">
          <a:extLst>
            <a:ext uri="{FF2B5EF4-FFF2-40B4-BE49-F238E27FC236}">
              <a16:creationId xmlns:a16="http://schemas.microsoft.com/office/drawing/2014/main" id="{00000000-0008-0000-0000-000007000000}"/>
            </a:ext>
          </a:extLst>
        </xdr:cNvPr>
        <xdr:cNvSpPr txBox="1"/>
      </xdr:nvSpPr>
      <xdr:spPr>
        <a:xfrm>
          <a:off x="1213866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118" name="TextBox 117">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119" name="TextBox 118">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120" name="TextBox 119">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121" name="TextBox 120">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22" name="TextBox 121">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23" name="TextBox 122">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24" name="TextBox 123">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25" name="TextBox 124">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26" name="TextBox 125">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27" name="TextBox 126">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28" name="TextBox 127">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29" name="TextBox 128">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30" name="TextBox 129">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31" name="TextBox 130">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32" name="TextBox 131">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166</xdr:row>
      <xdr:rowOff>0</xdr:rowOff>
    </xdr:from>
    <xdr:ext cx="65" cy="172227"/>
    <xdr:sp macro="" textlink="">
      <xdr:nvSpPr>
        <xdr:cNvPr id="133" name="TextBox 132">
          <a:extLst>
            <a:ext uri="{FF2B5EF4-FFF2-40B4-BE49-F238E27FC236}">
              <a16:creationId xmlns:a16="http://schemas.microsoft.com/office/drawing/2014/main" id="{00000000-0008-0000-0000-000007000000}"/>
            </a:ext>
          </a:extLst>
        </xdr:cNvPr>
        <xdr:cNvSpPr txBox="1"/>
      </xdr:nvSpPr>
      <xdr:spPr>
        <a:xfrm>
          <a:off x="8267700" y="3348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34" name="TextBox 13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35" name="TextBox 13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36" name="TextBox 135">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37" name="TextBox 136">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38" name="TextBox 137">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39" name="TextBox 138">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40" name="TextBox 139">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41" name="TextBox 140">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42" name="TextBox 141">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43" name="TextBox 142">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44" name="TextBox 14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45" name="TextBox 14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46" name="TextBox 145">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47" name="TextBox 146">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48" name="TextBox 147">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49" name="TextBox 148">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50" name="TextBox 149">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51" name="TextBox 150">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52" name="TextBox 151">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53" name="TextBox 152">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54" name="TextBox 15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55" name="TextBox 15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56" name="TextBox 155">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57" name="TextBox 156">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58" name="TextBox 157">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59" name="TextBox 158">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60" name="TextBox 159">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61" name="TextBox 160">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62" name="TextBox 161">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63" name="TextBox 162">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64" name="TextBox 163">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65" name="TextBox 164">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66" name="TextBox 165">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67" name="TextBox 166">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68" name="TextBox 167">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69" name="TextBox 168">
          <a:extLst>
            <a:ext uri="{FF2B5EF4-FFF2-40B4-BE49-F238E27FC236}">
              <a16:creationId xmlns:a16="http://schemas.microsoft.com/office/drawing/2014/main" id="{00000000-0008-0000-0000-000007000000}"/>
            </a:ext>
          </a:extLst>
        </xdr:cNvPr>
        <xdr:cNvSpPr txBox="1"/>
      </xdr:nvSpPr>
      <xdr:spPr>
        <a:xfrm>
          <a:off x="826770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70" name="TextBox 169">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71" name="TextBox 170">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72" name="TextBox 171">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73" name="TextBox 172">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74" name="TextBox 173">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75" name="TextBox 174">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76" name="TextBox 175">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177" name="TextBox 176">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78" name="TextBox 17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79" name="TextBox 17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80" name="TextBox 17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81" name="TextBox 18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82" name="TextBox 18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83" name="TextBox 18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84" name="TextBox 18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85" name="TextBox 18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86" name="TextBox 18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87" name="TextBox 18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88" name="TextBox 18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89" name="TextBox 18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90" name="TextBox 18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91" name="TextBox 19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92" name="TextBox 19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93" name="TextBox 19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94" name="TextBox 19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95" name="TextBox 19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96" name="TextBox 19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97" name="TextBox 19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98" name="TextBox 19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199" name="TextBox 19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0" name="TextBox 19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1" name="TextBox 20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2" name="TextBox 20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3" name="TextBox 20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4" name="TextBox 20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5" name="TextBox 20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6" name="TextBox 20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7" name="TextBox 20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8" name="TextBox 20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09" name="TextBox 20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10" name="TextBox 20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11" name="TextBox 21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12" name="TextBox 21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13" name="TextBox 21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14" name="TextBox 21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15" name="TextBox 21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16" name="TextBox 215">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17" name="TextBox 216">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18" name="TextBox 217">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19" name="TextBox 218">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20" name="TextBox 219">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21" name="TextBox 220">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22" name="TextBox 221">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23" name="TextBox 222">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24" name="TextBox 223">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25" name="TextBox 224">
          <a:extLst>
            <a:ext uri="{FF2B5EF4-FFF2-40B4-BE49-F238E27FC236}">
              <a16:creationId xmlns:a16="http://schemas.microsoft.com/office/drawing/2014/main" id="{00000000-0008-0000-0000-000007000000}"/>
            </a:ext>
          </a:extLst>
        </xdr:cNvPr>
        <xdr:cNvSpPr txBox="1"/>
      </xdr:nvSpPr>
      <xdr:spPr>
        <a:xfrm>
          <a:off x="826770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26" name="TextBox 225">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27" name="TextBox 226">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28" name="TextBox 227">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29" name="TextBox 228">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30" name="TextBox 229">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31" name="TextBox 230">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32" name="TextBox 231">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168</xdr:row>
      <xdr:rowOff>0</xdr:rowOff>
    </xdr:from>
    <xdr:ext cx="65" cy="172227"/>
    <xdr:sp macro="" textlink="">
      <xdr:nvSpPr>
        <xdr:cNvPr id="233" name="TextBox 232">
          <a:extLst>
            <a:ext uri="{FF2B5EF4-FFF2-40B4-BE49-F238E27FC236}">
              <a16:creationId xmlns:a16="http://schemas.microsoft.com/office/drawing/2014/main" id="{00000000-0008-0000-0000-000007000000}"/>
            </a:ext>
          </a:extLst>
        </xdr:cNvPr>
        <xdr:cNvSpPr txBox="1"/>
      </xdr:nvSpPr>
      <xdr:spPr>
        <a:xfrm>
          <a:off x="12138660" y="338861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34" name="TextBox 23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35" name="TextBox 23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36" name="TextBox 23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37" name="TextBox 23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38" name="TextBox 23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39" name="TextBox 23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40" name="TextBox 23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41" name="TextBox 24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42" name="TextBox 24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43" name="TextBox 24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44" name="TextBox 24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45" name="TextBox 24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46" name="TextBox 24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47" name="TextBox 24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48" name="TextBox 24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49" name="TextBox 24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0" name="TextBox 24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1" name="TextBox 25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2" name="TextBox 25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3" name="TextBox 25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4" name="TextBox 25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5" name="TextBox 25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6" name="TextBox 25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7" name="TextBox 25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8" name="TextBox 25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59" name="TextBox 25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60" name="TextBox 25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61" name="TextBox 26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62" name="TextBox 26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63" name="TextBox 26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64" name="TextBox 26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65" name="TextBox 26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66" name="TextBox 26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67" name="TextBox 26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68" name="TextBox 26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69" name="TextBox 26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70" name="TextBox 26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71" name="TextBox 27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72" name="TextBox 27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73" name="TextBox 27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74" name="TextBox 27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75" name="TextBox 27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76" name="TextBox 27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77" name="TextBox 27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78" name="TextBox 277">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79" name="TextBox 278">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80" name="TextBox 279">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81" name="TextBox 280">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82" name="TextBox 281">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83" name="TextBox 282">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84" name="TextBox 283">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85" name="TextBox 284">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86" name="TextBox 285">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87" name="TextBox 286">
          <a:extLst>
            <a:ext uri="{FF2B5EF4-FFF2-40B4-BE49-F238E27FC236}">
              <a16:creationId xmlns:a16="http://schemas.microsoft.com/office/drawing/2014/main" id="{00000000-0008-0000-0000-000007000000}"/>
            </a:ext>
          </a:extLst>
        </xdr:cNvPr>
        <xdr:cNvSpPr txBox="1"/>
      </xdr:nvSpPr>
      <xdr:spPr>
        <a:xfrm>
          <a:off x="826770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88" name="TextBox 287">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89" name="TextBox 288">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90" name="TextBox 289">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91" name="TextBox 290">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92" name="TextBox 291">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93" name="TextBox 292">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94" name="TextBox 293">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169</xdr:row>
      <xdr:rowOff>0</xdr:rowOff>
    </xdr:from>
    <xdr:ext cx="65" cy="172227"/>
    <xdr:sp macro="" textlink="">
      <xdr:nvSpPr>
        <xdr:cNvPr id="295" name="TextBox 294">
          <a:extLst>
            <a:ext uri="{FF2B5EF4-FFF2-40B4-BE49-F238E27FC236}">
              <a16:creationId xmlns:a16="http://schemas.microsoft.com/office/drawing/2014/main" id="{00000000-0008-0000-0000-000007000000}"/>
            </a:ext>
          </a:extLst>
        </xdr:cNvPr>
        <xdr:cNvSpPr txBox="1"/>
      </xdr:nvSpPr>
      <xdr:spPr>
        <a:xfrm>
          <a:off x="12138660" y="340842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296" name="TextBox 29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297" name="TextBox 29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298" name="TextBox 29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299" name="TextBox 29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0" name="TextBox 29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1" name="TextBox 30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2" name="TextBox 30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3" name="TextBox 30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4" name="TextBox 30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5" name="TextBox 30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6" name="TextBox 30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7" name="TextBox 30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8" name="TextBox 30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09" name="TextBox 30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10" name="TextBox 30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11" name="TextBox 31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12" name="TextBox 31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13" name="TextBox 31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14" name="TextBox 31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15" name="TextBox 31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16" name="TextBox 31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17" name="TextBox 31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18" name="TextBox 31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19" name="TextBox 31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20" name="TextBox 31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21" name="TextBox 32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22" name="TextBox 32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23" name="TextBox 32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24" name="TextBox 32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25" name="TextBox 32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26" name="TextBox 32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27" name="TextBox 32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28" name="TextBox 32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29" name="TextBox 32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30" name="TextBox 32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31" name="TextBox 33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32" name="TextBox 33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33" name="TextBox 33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34" name="TextBox 33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35" name="TextBox 33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36" name="TextBox 33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37" name="TextBox 33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38" name="TextBox 33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39" name="TextBox 33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40" name="TextBox 33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41" name="TextBox 34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42" name="TextBox 34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43" name="TextBox 34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44" name="TextBox 34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45" name="TextBox 34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46" name="TextBox 34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47" name="TextBox 34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48" name="TextBox 34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49" name="TextBox 34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50" name="TextBox 34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51" name="TextBox 35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52" name="TextBox 351">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53" name="TextBox 352">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54" name="TextBox 353">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55" name="TextBox 354">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56" name="TextBox 355">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57" name="TextBox 356">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58" name="TextBox 357">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359" name="TextBox 358">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60" name="TextBox 35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61" name="TextBox 36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62" name="TextBox 36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63" name="TextBox 36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64" name="TextBox 36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65" name="TextBox 36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66" name="TextBox 36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67" name="TextBox 36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68" name="TextBox 36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69" name="TextBox 36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70" name="TextBox 36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71" name="TextBox 37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72" name="TextBox 37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73" name="TextBox 37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74" name="TextBox 37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75" name="TextBox 37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76" name="TextBox 37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77" name="TextBox 37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78" name="TextBox 37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79" name="TextBox 37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0" name="TextBox 37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1" name="TextBox 38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2" name="TextBox 38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3" name="TextBox 38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4" name="TextBox 38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5" name="TextBox 38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6" name="TextBox 38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7" name="TextBox 38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8" name="TextBox 38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89" name="TextBox 38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90" name="TextBox 38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91" name="TextBox 39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92" name="TextBox 39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93" name="TextBox 39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94" name="TextBox 39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95" name="TextBox 39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96" name="TextBox 39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97" name="TextBox 39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98" name="TextBox 39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399" name="TextBox 39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0" name="TextBox 39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1" name="TextBox 40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2" name="TextBox 40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3" name="TextBox 40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4" name="TextBox 40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5" name="TextBox 40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6" name="TextBox 40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7" name="TextBox 40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8" name="TextBox 407">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09" name="TextBox 408">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10" name="TextBox 409">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11" name="TextBox 410">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12" name="TextBox 411">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13" name="TextBox 412">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14" name="TextBox 413">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15" name="TextBox 414">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16" name="TextBox 415">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17" name="TextBox 416">
          <a:extLst>
            <a:ext uri="{FF2B5EF4-FFF2-40B4-BE49-F238E27FC236}">
              <a16:creationId xmlns:a16="http://schemas.microsoft.com/office/drawing/2014/main" id="{00000000-0008-0000-0000-000007000000}"/>
            </a:ext>
          </a:extLst>
        </xdr:cNvPr>
        <xdr:cNvSpPr txBox="1"/>
      </xdr:nvSpPr>
      <xdr:spPr>
        <a:xfrm>
          <a:off x="826770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18" name="TextBox 417">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19" name="TextBox 418">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20" name="TextBox 419">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21" name="TextBox 420">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22" name="TextBox 421">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23" name="TextBox 422">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24" name="TextBox 423">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171</xdr:row>
      <xdr:rowOff>0</xdr:rowOff>
    </xdr:from>
    <xdr:ext cx="65" cy="172227"/>
    <xdr:sp macro="" textlink="">
      <xdr:nvSpPr>
        <xdr:cNvPr id="425" name="TextBox 424">
          <a:extLst>
            <a:ext uri="{FF2B5EF4-FFF2-40B4-BE49-F238E27FC236}">
              <a16:creationId xmlns:a16="http://schemas.microsoft.com/office/drawing/2014/main" id="{00000000-0008-0000-0000-000007000000}"/>
            </a:ext>
          </a:extLst>
        </xdr:cNvPr>
        <xdr:cNvSpPr txBox="1"/>
      </xdr:nvSpPr>
      <xdr:spPr>
        <a:xfrm>
          <a:off x="12138660" y="34480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426" name="TextBox 425">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165</xdr:row>
      <xdr:rowOff>0</xdr:rowOff>
    </xdr:from>
    <xdr:ext cx="65" cy="172227"/>
    <xdr:sp macro="" textlink="">
      <xdr:nvSpPr>
        <xdr:cNvPr id="427" name="TextBox 426">
          <a:extLst>
            <a:ext uri="{FF2B5EF4-FFF2-40B4-BE49-F238E27FC236}">
              <a16:creationId xmlns:a16="http://schemas.microsoft.com/office/drawing/2014/main" id="{00000000-0008-0000-0000-000007000000}"/>
            </a:ext>
          </a:extLst>
        </xdr:cNvPr>
        <xdr:cNvSpPr txBox="1"/>
      </xdr:nvSpPr>
      <xdr:spPr>
        <a:xfrm>
          <a:off x="8267700" y="332917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428" name="TextBox 427">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429" name="TextBox 428">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430" name="TextBox 429">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431" name="TextBox 430">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432" name="TextBox 431">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433" name="TextBox 432">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434" name="TextBox 433">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167</xdr:row>
      <xdr:rowOff>0</xdr:rowOff>
    </xdr:from>
    <xdr:ext cx="65" cy="172227"/>
    <xdr:sp macro="" textlink="">
      <xdr:nvSpPr>
        <xdr:cNvPr id="435" name="TextBox 434">
          <a:extLst>
            <a:ext uri="{FF2B5EF4-FFF2-40B4-BE49-F238E27FC236}">
              <a16:creationId xmlns:a16="http://schemas.microsoft.com/office/drawing/2014/main" id="{00000000-0008-0000-0000-000007000000}"/>
            </a:ext>
          </a:extLst>
        </xdr:cNvPr>
        <xdr:cNvSpPr txBox="1"/>
      </xdr:nvSpPr>
      <xdr:spPr>
        <a:xfrm>
          <a:off x="12138660" y="33688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36" name="TextBox 43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37" name="TextBox 43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38" name="TextBox 43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39" name="TextBox 43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40" name="TextBox 43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41" name="TextBox 44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42" name="TextBox 44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43" name="TextBox 44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44" name="TextBox 44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45" name="TextBox 44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46" name="TextBox 44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47" name="TextBox 44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48" name="TextBox 44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49" name="TextBox 44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50" name="TextBox 44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51" name="TextBox 45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52" name="TextBox 45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53" name="TextBox 45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54" name="TextBox 45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55" name="TextBox 45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56" name="TextBox 45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57" name="TextBox 45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58" name="TextBox 45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59" name="TextBox 45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60" name="TextBox 45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61" name="TextBox 46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62" name="TextBox 46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63" name="TextBox 46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64" name="TextBox 46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65" name="TextBox 46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66" name="TextBox 46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67" name="TextBox 46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68" name="TextBox 46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69" name="TextBox 46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70" name="TextBox 46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71" name="TextBox 47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72" name="TextBox 47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73" name="TextBox 47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74" name="TextBox 47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75" name="TextBox 47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76" name="TextBox 47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77" name="TextBox 47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78" name="TextBox 47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79" name="TextBox 47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80" name="TextBox 47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81" name="TextBox 48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82" name="TextBox 481">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83" name="TextBox 482">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84" name="TextBox 483">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85" name="TextBox 484">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86" name="TextBox 485">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87" name="TextBox 486">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88" name="TextBox 487">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89" name="TextBox 488">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0" name="TextBox 489">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1" name="TextBox 490">
          <a:extLst>
            <a:ext uri="{FF2B5EF4-FFF2-40B4-BE49-F238E27FC236}">
              <a16:creationId xmlns:a16="http://schemas.microsoft.com/office/drawing/2014/main" id="{00000000-0008-0000-0000-000007000000}"/>
            </a:ext>
          </a:extLst>
        </xdr:cNvPr>
        <xdr:cNvSpPr txBox="1"/>
      </xdr:nvSpPr>
      <xdr:spPr>
        <a:xfrm>
          <a:off x="826770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2" name="TextBox 491">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3" name="TextBox 492">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4" name="TextBox 493">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5" name="TextBox 494">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6" name="TextBox 495">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7" name="TextBox 496">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8" name="TextBox 497">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0</xdr:col>
      <xdr:colOff>0</xdr:colOff>
      <xdr:row>170</xdr:row>
      <xdr:rowOff>0</xdr:rowOff>
    </xdr:from>
    <xdr:ext cx="65" cy="172227"/>
    <xdr:sp macro="" textlink="">
      <xdr:nvSpPr>
        <xdr:cNvPr id="499" name="TextBox 498">
          <a:extLst>
            <a:ext uri="{FF2B5EF4-FFF2-40B4-BE49-F238E27FC236}">
              <a16:creationId xmlns:a16="http://schemas.microsoft.com/office/drawing/2014/main" id="{00000000-0008-0000-0000-000007000000}"/>
            </a:ext>
          </a:extLst>
        </xdr:cNvPr>
        <xdr:cNvSpPr txBox="1"/>
      </xdr:nvSpPr>
      <xdr:spPr>
        <a:xfrm>
          <a:off x="12138660" y="34282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193863</xdr:colOff>
      <xdr:row>32</xdr:row>
      <xdr:rowOff>225973</xdr:rowOff>
    </xdr:to>
    <xdr:pic>
      <xdr:nvPicPr>
        <xdr:cNvPr id="3" name="Picture 2"/>
        <xdr:cNvPicPr>
          <a:picLocks noChangeAspect="1"/>
        </xdr:cNvPicPr>
      </xdr:nvPicPr>
      <xdr:blipFill>
        <a:blip xmlns:r="http://schemas.openxmlformats.org/officeDocument/2006/relationships" r:embed="rId1"/>
        <a:stretch>
          <a:fillRect/>
        </a:stretch>
      </xdr:blipFill>
      <xdr:spPr>
        <a:xfrm>
          <a:off x="0" y="0"/>
          <a:ext cx="10450383" cy="847843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0" y="0"/>
    <xdr:ext cx="9258300" cy="6048375"/>
    <xdr:graphicFrame macro="">
      <xdr:nvGraphicFramePr>
        <xdr:cNvPr id="4" name="Chart 3">
          <a:extLst>
            <a:ext uri="{FF2B5EF4-FFF2-40B4-BE49-F238E27FC236}">
              <a16:creationId xmlns:a16="http://schemas.microsoft.com/office/drawing/2014/main" id="{BD2F617A-274B-4790-AABE-906A37628AC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9753600" y="0"/>
    <xdr:ext cx="9258300" cy="6048375"/>
    <xdr:graphicFrame macro="">
      <xdr:nvGraphicFramePr>
        <xdr:cNvPr id="7" name="Chart 6">
          <a:extLst>
            <a:ext uri="{FF2B5EF4-FFF2-40B4-BE49-F238E27FC236}">
              <a16:creationId xmlns:a16="http://schemas.microsoft.com/office/drawing/2014/main" id="{FDAD1128-0EEA-4405-BCB8-7EFDD54F514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Shared\NCH2ENGINEER\UGReports\Assest%20Care_TMM%20Weekly%20Compliance\2425\Oct%202024\Wkly%20Compliance%20Report%20-%2003%20Oct%202024%20-%20Dont%20use%20file%20is%20corrup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10063554/AppData/Local/Microsoft/Windows/INetCache/Content.Outlook/RA1CPW6N/WeeklyOilReportBlackrock%20-%202025-11-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 Oct 2024"/>
      <sheetName val=" WKLY Quality Report - Foreman"/>
      <sheetName val="Machine Washing Tracker"/>
      <sheetName val="MTBF - After Service - Planner"/>
      <sheetName val="Hydr Hose Summary"/>
    </sheetNames>
    <sheetDataSet>
      <sheetData sheetId="0">
        <row r="33">
          <cell r="C33" t="str">
            <v>Planned</v>
          </cell>
          <cell r="D33" t="str">
            <v>Actual</v>
          </cell>
          <cell r="E33" t="str">
            <v>Schedule Compliance</v>
          </cell>
          <cell r="F33" t="str">
            <v>Target</v>
          </cell>
        </row>
        <row r="34">
          <cell r="B34" t="str">
            <v>DT</v>
          </cell>
          <cell r="C34">
            <v>0</v>
          </cell>
          <cell r="D34"/>
          <cell r="E34" t="str">
            <v/>
          </cell>
          <cell r="F34">
            <v>0.95</v>
          </cell>
        </row>
        <row r="35">
          <cell r="B35" t="str">
            <v>FL</v>
          </cell>
          <cell r="C35">
            <v>0</v>
          </cell>
          <cell r="D35"/>
          <cell r="E35" t="str">
            <v/>
          </cell>
          <cell r="F35">
            <v>0.95</v>
          </cell>
        </row>
        <row r="36">
          <cell r="B36" t="str">
            <v>HD</v>
          </cell>
          <cell r="C36">
            <v>3</v>
          </cell>
          <cell r="D36"/>
          <cell r="E36">
            <v>0</v>
          </cell>
          <cell r="F36">
            <v>0.95</v>
          </cell>
        </row>
        <row r="37">
          <cell r="B37" t="str">
            <v>RT</v>
          </cell>
          <cell r="C37">
            <v>3</v>
          </cell>
          <cell r="D37"/>
          <cell r="E37">
            <v>0</v>
          </cell>
          <cell r="F37">
            <v>0.95</v>
          </cell>
        </row>
        <row r="38">
          <cell r="B38" t="str">
            <v>SR - Service Compliance</v>
          </cell>
          <cell r="C38">
            <v>0</v>
          </cell>
          <cell r="D38"/>
          <cell r="E38" t="str">
            <v/>
          </cell>
          <cell r="F38">
            <v>0.95</v>
          </cell>
        </row>
        <row r="39">
          <cell r="B39" t="str">
            <v>Support Equipment</v>
          </cell>
          <cell r="C39">
            <v>3</v>
          </cell>
          <cell r="D39">
            <v>3</v>
          </cell>
          <cell r="E39">
            <v>1</v>
          </cell>
          <cell r="F39">
            <v>0.95</v>
          </cell>
        </row>
        <row r="61">
          <cell r="I61" t="str">
            <v>% Compliance</v>
          </cell>
          <cell r="N61" t="str">
            <v>Paperwork Correct</v>
          </cell>
          <cell r="O61" t="str">
            <v>Paperwork Incorrect</v>
          </cell>
        </row>
        <row r="62">
          <cell r="B62" t="str">
            <v>DT</v>
          </cell>
          <cell r="I62">
            <v>0</v>
          </cell>
          <cell r="N62"/>
          <cell r="O62"/>
        </row>
        <row r="63">
          <cell r="B63" t="str">
            <v>FL</v>
          </cell>
          <cell r="I63">
            <v>0</v>
          </cell>
          <cell r="N63"/>
          <cell r="O63"/>
        </row>
        <row r="64">
          <cell r="B64" t="str">
            <v>HD</v>
          </cell>
          <cell r="I64" t="str">
            <v/>
          </cell>
          <cell r="N64"/>
          <cell r="O64"/>
        </row>
        <row r="65">
          <cell r="B65" t="str">
            <v>RT</v>
          </cell>
          <cell r="I65" t="str">
            <v/>
          </cell>
          <cell r="N65"/>
          <cell r="O65"/>
        </row>
        <row r="66">
          <cell r="B66" t="str">
            <v>SR</v>
          </cell>
          <cell r="I66" t="str">
            <v/>
          </cell>
          <cell r="N66"/>
          <cell r="O66"/>
        </row>
        <row r="67">
          <cell r="B67" t="str">
            <v>Support Equipment</v>
          </cell>
          <cell r="I67">
            <v>1</v>
          </cell>
          <cell r="N67"/>
          <cell r="O67"/>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lackrock"/>
      <sheetName val="Gloria Filling (UG1 Oil Store)"/>
      <sheetName val="Gloria Filling (UG2 Work Shop)"/>
      <sheetName val="Main Refueling Bay 1(SCM025)"/>
      <sheetName val="Main Refueling Bay 2 (SCM26)"/>
      <sheetName val="NCHIII AARD UV0124 SCM044"/>
      <sheetName val="NCHIII AARD UV0125 SCM043"/>
      <sheetName val="Nchwaneng III 512 SCM19"/>
      <sheetName val="Nchwaning II Drill Shop (UG5)S"/>
      <sheetName val="Nchwaning II Lub 24 (SCM008)"/>
      <sheetName val="Nchwaning II Oil Store (UG1)SC"/>
      <sheetName val="Nchwaning II Oil Store (UG4)SC"/>
      <sheetName val="Nchwaning II Oil Storel (UG3)S"/>
      <sheetName val="Service Ramp 1(SCM023)"/>
      <sheetName val="Service Ramp 2(SCM024)"/>
    </sheetNames>
    <sheetDataSet>
      <sheetData sheetId="0">
        <row r="78">
          <cell r="E78" t="str">
            <v>RT0038</v>
          </cell>
          <cell r="F78">
            <v>40</v>
          </cell>
          <cell r="G78">
            <v>0</v>
          </cell>
          <cell r="H78">
            <v>0</v>
          </cell>
          <cell r="I78">
            <v>0</v>
          </cell>
          <cell r="J78">
            <v>0</v>
          </cell>
          <cell r="K78">
            <v>0</v>
          </cell>
          <cell r="L78">
            <v>0</v>
          </cell>
          <cell r="M78">
            <v>0</v>
          </cell>
        </row>
        <row r="79">
          <cell r="E79" t="str">
            <v>UV0087</v>
          </cell>
          <cell r="F79">
            <v>73.5</v>
          </cell>
          <cell r="G79">
            <v>0</v>
          </cell>
          <cell r="H79">
            <v>0.6</v>
          </cell>
          <cell r="I79">
            <v>16.5</v>
          </cell>
          <cell r="J79">
            <v>0</v>
          </cell>
          <cell r="K79">
            <v>0</v>
          </cell>
          <cell r="L79">
            <v>0</v>
          </cell>
          <cell r="M79">
            <v>0</v>
          </cell>
        </row>
        <row r="80">
          <cell r="E80" t="str">
            <v>HD0046</v>
          </cell>
          <cell r="F80">
            <v>35.4</v>
          </cell>
          <cell r="G80">
            <v>0</v>
          </cell>
          <cell r="H80">
            <v>0</v>
          </cell>
          <cell r="I80">
            <v>0</v>
          </cell>
          <cell r="J80">
            <v>0</v>
          </cell>
          <cell r="K80">
            <v>0</v>
          </cell>
          <cell r="L80">
            <v>0</v>
          </cell>
          <cell r="M80">
            <v>0</v>
          </cell>
        </row>
        <row r="81">
          <cell r="E81" t="str">
            <v>HD0067</v>
          </cell>
          <cell r="F81">
            <v>173.8</v>
          </cell>
          <cell r="G81">
            <v>0</v>
          </cell>
          <cell r="H81">
            <v>0</v>
          </cell>
          <cell r="I81">
            <v>0</v>
          </cell>
          <cell r="J81">
            <v>0</v>
          </cell>
          <cell r="K81">
            <v>0</v>
          </cell>
          <cell r="L81">
            <v>0</v>
          </cell>
          <cell r="M81">
            <v>0</v>
          </cell>
        </row>
        <row r="82">
          <cell r="E82" t="str">
            <v>UV0069 SCM008</v>
          </cell>
          <cell r="F82">
            <v>276.39999999999998</v>
          </cell>
          <cell r="G82">
            <v>0</v>
          </cell>
          <cell r="H82">
            <v>0</v>
          </cell>
          <cell r="I82">
            <v>0</v>
          </cell>
          <cell r="J82">
            <v>0</v>
          </cell>
          <cell r="K82">
            <v>0</v>
          </cell>
          <cell r="L82">
            <v>0</v>
          </cell>
          <cell r="M82">
            <v>0</v>
          </cell>
        </row>
        <row r="87">
          <cell r="E87" t="str">
            <v>DT0121</v>
          </cell>
          <cell r="F87">
            <v>0</v>
          </cell>
          <cell r="G87">
            <v>0</v>
          </cell>
          <cell r="H87">
            <v>34.9</v>
          </cell>
          <cell r="I87">
            <v>42</v>
          </cell>
          <cell r="J87">
            <v>0</v>
          </cell>
          <cell r="K87">
            <v>0</v>
          </cell>
          <cell r="L87">
            <v>0</v>
          </cell>
          <cell r="M87">
            <v>0</v>
          </cell>
        </row>
        <row r="88">
          <cell r="E88" t="str">
            <v>DT0122</v>
          </cell>
          <cell r="F88">
            <v>0</v>
          </cell>
          <cell r="G88">
            <v>0</v>
          </cell>
          <cell r="H88">
            <v>0</v>
          </cell>
          <cell r="I88">
            <v>39.4</v>
          </cell>
          <cell r="J88">
            <v>0</v>
          </cell>
          <cell r="K88">
            <v>0</v>
          </cell>
          <cell r="L88">
            <v>0</v>
          </cell>
          <cell r="M88">
            <v>0</v>
          </cell>
        </row>
        <row r="89">
          <cell r="E89" t="str">
            <v>DT0157</v>
          </cell>
          <cell r="F89">
            <v>0</v>
          </cell>
          <cell r="G89">
            <v>0</v>
          </cell>
          <cell r="H89">
            <v>51.7</v>
          </cell>
          <cell r="I89">
            <v>34.299999999999997</v>
          </cell>
          <cell r="J89">
            <v>0</v>
          </cell>
          <cell r="K89">
            <v>0</v>
          </cell>
          <cell r="L89">
            <v>0</v>
          </cell>
          <cell r="M89">
            <v>0</v>
          </cell>
        </row>
        <row r="90">
          <cell r="E90" t="str">
            <v>DT0158</v>
          </cell>
          <cell r="F90">
            <v>0</v>
          </cell>
          <cell r="G90">
            <v>0</v>
          </cell>
          <cell r="H90">
            <v>7.9</v>
          </cell>
          <cell r="I90">
            <v>0</v>
          </cell>
          <cell r="J90">
            <v>0</v>
          </cell>
          <cell r="K90">
            <v>0</v>
          </cell>
          <cell r="L90">
            <v>0</v>
          </cell>
          <cell r="M90">
            <v>0</v>
          </cell>
        </row>
        <row r="91">
          <cell r="E91" t="str">
            <v>DT0159</v>
          </cell>
          <cell r="F91">
            <v>0</v>
          </cell>
          <cell r="G91">
            <v>0</v>
          </cell>
          <cell r="H91">
            <v>0</v>
          </cell>
          <cell r="I91">
            <v>24</v>
          </cell>
          <cell r="J91">
            <v>0</v>
          </cell>
          <cell r="K91">
            <v>0</v>
          </cell>
          <cell r="L91">
            <v>0</v>
          </cell>
          <cell r="M91">
            <v>0</v>
          </cell>
        </row>
        <row r="92">
          <cell r="E92" t="str">
            <v>DT0169</v>
          </cell>
          <cell r="F92">
            <v>0</v>
          </cell>
          <cell r="G92">
            <v>0</v>
          </cell>
          <cell r="H92">
            <v>47.6</v>
          </cell>
          <cell r="I92">
            <v>26.1</v>
          </cell>
          <cell r="J92">
            <v>0</v>
          </cell>
          <cell r="K92">
            <v>0</v>
          </cell>
          <cell r="L92">
            <v>0</v>
          </cell>
          <cell r="M92">
            <v>0</v>
          </cell>
        </row>
        <row r="93">
          <cell r="E93" t="str">
            <v>DT0170</v>
          </cell>
          <cell r="F93">
            <v>0</v>
          </cell>
          <cell r="G93">
            <v>0.4</v>
          </cell>
          <cell r="H93">
            <v>101.8</v>
          </cell>
          <cell r="I93">
            <v>117.1</v>
          </cell>
          <cell r="J93">
            <v>0</v>
          </cell>
          <cell r="K93">
            <v>0</v>
          </cell>
          <cell r="L93">
            <v>0</v>
          </cell>
          <cell r="M93">
            <v>0</v>
          </cell>
        </row>
        <row r="94">
          <cell r="E94" t="str">
            <v>FL0092</v>
          </cell>
          <cell r="F94">
            <v>0</v>
          </cell>
          <cell r="G94">
            <v>0</v>
          </cell>
          <cell r="H94">
            <v>0</v>
          </cell>
          <cell r="I94">
            <v>18.899999999999999</v>
          </cell>
          <cell r="J94">
            <v>0</v>
          </cell>
          <cell r="K94">
            <v>0</v>
          </cell>
          <cell r="L94">
            <v>0</v>
          </cell>
          <cell r="M94">
            <v>0</v>
          </cell>
        </row>
        <row r="95">
          <cell r="E95" t="str">
            <v>FL0100</v>
          </cell>
          <cell r="F95">
            <v>0</v>
          </cell>
          <cell r="G95">
            <v>0</v>
          </cell>
          <cell r="H95">
            <v>0</v>
          </cell>
          <cell r="I95">
            <v>11.5</v>
          </cell>
          <cell r="J95">
            <v>0</v>
          </cell>
          <cell r="K95">
            <v>0</v>
          </cell>
          <cell r="L95">
            <v>0</v>
          </cell>
          <cell r="M95">
            <v>0</v>
          </cell>
        </row>
        <row r="96">
          <cell r="E96" t="str">
            <v>FL0086</v>
          </cell>
          <cell r="F96">
            <v>0</v>
          </cell>
          <cell r="G96">
            <v>0</v>
          </cell>
          <cell r="H96">
            <v>0</v>
          </cell>
          <cell r="I96">
            <v>169.9</v>
          </cell>
          <cell r="J96">
            <v>0</v>
          </cell>
          <cell r="K96">
            <v>0</v>
          </cell>
          <cell r="L96">
            <v>0</v>
          </cell>
          <cell r="M96">
            <v>0</v>
          </cell>
        </row>
        <row r="97">
          <cell r="E97" t="str">
            <v>FL0087</v>
          </cell>
          <cell r="F97">
            <v>0</v>
          </cell>
          <cell r="G97">
            <v>0</v>
          </cell>
          <cell r="H97">
            <v>0</v>
          </cell>
          <cell r="I97">
            <v>46.6</v>
          </cell>
          <cell r="J97">
            <v>0</v>
          </cell>
          <cell r="K97">
            <v>0</v>
          </cell>
          <cell r="L97">
            <v>0</v>
          </cell>
          <cell r="M97">
            <v>0</v>
          </cell>
        </row>
        <row r="98">
          <cell r="E98" t="str">
            <v>FL0102</v>
          </cell>
          <cell r="F98">
            <v>0</v>
          </cell>
          <cell r="G98">
            <v>0</v>
          </cell>
          <cell r="H98">
            <v>31.2</v>
          </cell>
          <cell r="I98">
            <v>15.1</v>
          </cell>
          <cell r="J98">
            <v>0</v>
          </cell>
          <cell r="K98">
            <v>0</v>
          </cell>
          <cell r="L98">
            <v>0</v>
          </cell>
          <cell r="M98">
            <v>0</v>
          </cell>
        </row>
        <row r="99">
          <cell r="E99" t="str">
            <v>FL0106</v>
          </cell>
          <cell r="F99">
            <v>0</v>
          </cell>
          <cell r="G99">
            <v>0</v>
          </cell>
          <cell r="H99">
            <v>14.1</v>
          </cell>
          <cell r="I99">
            <v>0</v>
          </cell>
          <cell r="J99">
            <v>0</v>
          </cell>
          <cell r="K99">
            <v>0</v>
          </cell>
          <cell r="L99">
            <v>0</v>
          </cell>
          <cell r="M99">
            <v>0</v>
          </cell>
        </row>
        <row r="100">
          <cell r="E100" t="str">
            <v>FL0114</v>
          </cell>
          <cell r="F100">
            <v>0</v>
          </cell>
          <cell r="G100">
            <v>0.25</v>
          </cell>
          <cell r="H100">
            <v>55.1</v>
          </cell>
          <cell r="I100">
            <v>144.69999999999999</v>
          </cell>
          <cell r="J100">
            <v>0</v>
          </cell>
          <cell r="K100">
            <v>0</v>
          </cell>
          <cell r="L100">
            <v>0</v>
          </cell>
          <cell r="M100">
            <v>0</v>
          </cell>
        </row>
        <row r="101">
          <cell r="E101" t="str">
            <v>FL0120</v>
          </cell>
          <cell r="F101">
            <v>0</v>
          </cell>
          <cell r="G101">
            <v>0</v>
          </cell>
          <cell r="H101">
            <v>2</v>
          </cell>
          <cell r="I101">
            <v>31.8</v>
          </cell>
          <cell r="J101">
            <v>0</v>
          </cell>
          <cell r="K101">
            <v>0</v>
          </cell>
          <cell r="L101">
            <v>0</v>
          </cell>
          <cell r="M101">
            <v>0</v>
          </cell>
        </row>
        <row r="102">
          <cell r="E102" t="str">
            <v>FL0068</v>
          </cell>
          <cell r="F102">
            <v>0</v>
          </cell>
          <cell r="G102">
            <v>0</v>
          </cell>
          <cell r="H102">
            <v>0</v>
          </cell>
          <cell r="I102">
            <v>38.9</v>
          </cell>
          <cell r="J102">
            <v>0</v>
          </cell>
          <cell r="K102">
            <v>0</v>
          </cell>
          <cell r="L102">
            <v>0</v>
          </cell>
          <cell r="M102">
            <v>0</v>
          </cell>
        </row>
        <row r="103">
          <cell r="E103" t="str">
            <v>FL0077</v>
          </cell>
          <cell r="F103">
            <v>0</v>
          </cell>
          <cell r="G103">
            <v>0</v>
          </cell>
          <cell r="H103">
            <v>0</v>
          </cell>
          <cell r="I103">
            <v>213.1</v>
          </cell>
          <cell r="J103">
            <v>0</v>
          </cell>
          <cell r="K103">
            <v>0</v>
          </cell>
          <cell r="L103">
            <v>0</v>
          </cell>
          <cell r="M10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N@%20U/G%20Silo%20syte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O65"/>
  <sheetViews>
    <sheetView tabSelected="1" topLeftCell="A39" zoomScale="80" zoomScaleNormal="80" workbookViewId="0">
      <selection activeCell="H42" sqref="H42:L42"/>
    </sheetView>
  </sheetViews>
  <sheetFormatPr defaultRowHeight="14.4"/>
  <cols>
    <col min="1" max="1" width="42.6640625" bestFit="1" customWidth="1"/>
    <col min="2" max="2" width="21" bestFit="1" customWidth="1"/>
    <col min="3" max="3" width="21.109375" bestFit="1" customWidth="1"/>
    <col min="4" max="4" width="16.6640625" bestFit="1" customWidth="1"/>
    <col min="5" max="5" width="19.109375" customWidth="1"/>
    <col min="6" max="6" width="21.5546875" customWidth="1"/>
    <col min="7" max="7" width="16.33203125" bestFit="1" customWidth="1"/>
    <col min="8" max="8" width="28" bestFit="1" customWidth="1"/>
    <col min="9" max="9" width="13.5546875" customWidth="1"/>
    <col min="10" max="11" width="19.88671875" customWidth="1"/>
    <col min="12" max="12" width="35.6640625" customWidth="1"/>
    <col min="13" max="13" width="15.5546875" customWidth="1"/>
    <col min="14" max="14" width="22.6640625" customWidth="1"/>
    <col min="15" max="15" width="19.33203125" bestFit="1" customWidth="1"/>
  </cols>
  <sheetData>
    <row r="1" spans="1:15" ht="21">
      <c r="E1" s="1" t="s">
        <v>0</v>
      </c>
      <c r="F1" s="1"/>
      <c r="G1" s="1"/>
      <c r="J1" s="17"/>
      <c r="K1" s="17"/>
      <c r="L1" s="17"/>
      <c r="M1" s="17"/>
    </row>
    <row r="2" spans="1:15">
      <c r="A2" s="8" t="s">
        <v>7</v>
      </c>
      <c r="B2" s="8" t="s">
        <v>63</v>
      </c>
      <c r="H2" s="30"/>
      <c r="I2" s="63" t="s">
        <v>12</v>
      </c>
      <c r="J2" s="63" t="s">
        <v>13</v>
      </c>
      <c r="K2" s="63" t="s">
        <v>15</v>
      </c>
      <c r="L2" s="63" t="s">
        <v>16</v>
      </c>
      <c r="M2" s="7" t="s">
        <v>40</v>
      </c>
    </row>
    <row r="3" spans="1:15">
      <c r="H3" s="26" t="s">
        <v>28</v>
      </c>
      <c r="I3" s="83">
        <v>621085</v>
      </c>
      <c r="J3" s="83">
        <v>534969</v>
      </c>
      <c r="K3" s="83">
        <v>60105</v>
      </c>
      <c r="L3" s="83">
        <v>38824</v>
      </c>
      <c r="M3" s="108">
        <f>L3-K3</f>
        <v>-21281</v>
      </c>
      <c r="N3" s="18"/>
      <c r="O3" s="19"/>
    </row>
    <row r="4" spans="1:15">
      <c r="A4" s="8" t="s">
        <v>32</v>
      </c>
      <c r="B4" s="16">
        <v>45968</v>
      </c>
      <c r="C4" s="16">
        <v>45974</v>
      </c>
      <c r="D4" s="8"/>
      <c r="H4" s="26" t="s">
        <v>29</v>
      </c>
      <c r="I4" s="83">
        <v>569862</v>
      </c>
      <c r="J4" s="83">
        <v>527172</v>
      </c>
      <c r="K4" s="83">
        <v>53761</v>
      </c>
      <c r="L4" s="83">
        <v>38548</v>
      </c>
      <c r="M4" s="108">
        <f>L4-K4</f>
        <v>-15213</v>
      </c>
      <c r="N4" s="18"/>
      <c r="O4" s="19"/>
    </row>
    <row r="5" spans="1:15">
      <c r="J5" s="17"/>
      <c r="K5" s="17"/>
      <c r="L5" s="17"/>
      <c r="M5" s="17"/>
    </row>
    <row r="6" spans="1:15" ht="15" customHeight="1">
      <c r="A6" s="634" t="s">
        <v>1</v>
      </c>
      <c r="B6" s="634"/>
      <c r="C6" s="634"/>
      <c r="D6" s="634"/>
      <c r="E6" s="634"/>
      <c r="F6" s="634"/>
      <c r="G6" s="634"/>
      <c r="H6" s="634"/>
      <c r="I6" s="634"/>
      <c r="J6" s="634"/>
      <c r="K6" s="634"/>
      <c r="L6" s="634"/>
      <c r="N6" s="17"/>
    </row>
    <row r="7" spans="1:15" ht="15.75" customHeight="1">
      <c r="A7" s="3"/>
      <c r="B7" s="5" t="s">
        <v>6</v>
      </c>
      <c r="C7" s="6" t="s">
        <v>14</v>
      </c>
      <c r="D7" s="638" t="s">
        <v>4</v>
      </c>
      <c r="E7" s="638"/>
      <c r="F7" s="638"/>
      <c r="G7" s="638"/>
      <c r="H7" s="638"/>
      <c r="I7" s="638"/>
      <c r="J7" s="638"/>
      <c r="K7" s="638"/>
      <c r="L7" s="638"/>
    </row>
    <row r="8" spans="1:15">
      <c r="A8" s="2" t="s">
        <v>3</v>
      </c>
      <c r="B8" s="61">
        <v>1</v>
      </c>
      <c r="C8" s="61">
        <v>1</v>
      </c>
      <c r="D8" s="639" t="s">
        <v>420</v>
      </c>
      <c r="E8" s="639"/>
      <c r="F8" s="639"/>
      <c r="G8" s="639"/>
      <c r="H8" s="639"/>
      <c r="I8" s="639"/>
      <c r="J8" s="639"/>
      <c r="K8" s="639"/>
      <c r="L8" s="639"/>
    </row>
    <row r="9" spans="1:15">
      <c r="A9" s="2" t="s">
        <v>2</v>
      </c>
      <c r="B9" s="61">
        <v>0</v>
      </c>
      <c r="C9" s="61">
        <v>0</v>
      </c>
      <c r="D9" s="639"/>
      <c r="E9" s="639"/>
      <c r="F9" s="639"/>
      <c r="G9" s="639"/>
      <c r="H9" s="639"/>
      <c r="I9" s="639"/>
      <c r="J9" s="639"/>
      <c r="K9" s="639"/>
      <c r="L9" s="639"/>
    </row>
    <row r="10" spans="1:15" ht="14.25" customHeight="1">
      <c r="A10" s="2" t="s">
        <v>5</v>
      </c>
      <c r="B10" s="61">
        <v>4</v>
      </c>
      <c r="C10" s="61">
        <v>1</v>
      </c>
      <c r="D10" s="640" t="s">
        <v>419</v>
      </c>
      <c r="E10" s="640"/>
      <c r="F10" s="640"/>
      <c r="G10" s="640"/>
      <c r="H10" s="640"/>
      <c r="I10" s="640"/>
      <c r="J10" s="640"/>
      <c r="K10" s="640"/>
      <c r="L10" s="640"/>
    </row>
    <row r="11" spans="1:15">
      <c r="A11" s="2" t="s">
        <v>62</v>
      </c>
      <c r="B11" s="61">
        <v>0</v>
      </c>
      <c r="C11" s="61">
        <v>0</v>
      </c>
      <c r="D11" s="641"/>
      <c r="E11" s="641"/>
      <c r="F11" s="641"/>
      <c r="G11" s="641"/>
      <c r="H11" s="641"/>
      <c r="I11" s="641"/>
      <c r="J11" s="641"/>
      <c r="K11" s="641"/>
      <c r="L11" s="641"/>
    </row>
    <row r="12" spans="1:15" ht="15" customHeight="1">
      <c r="A12" s="634" t="s">
        <v>8</v>
      </c>
      <c r="B12" s="634"/>
      <c r="C12" s="634"/>
      <c r="D12" s="634"/>
      <c r="E12" s="634"/>
      <c r="F12" s="634"/>
      <c r="G12" s="634"/>
      <c r="H12" s="634"/>
      <c r="I12" s="634"/>
      <c r="J12" s="634"/>
      <c r="K12" s="634"/>
      <c r="L12" s="634"/>
    </row>
    <row r="13" spans="1:15" ht="15" customHeight="1">
      <c r="A13" s="9"/>
      <c r="B13" s="6" t="s">
        <v>9</v>
      </c>
      <c r="C13" s="6" t="s">
        <v>10</v>
      </c>
      <c r="D13" s="6" t="s">
        <v>33</v>
      </c>
      <c r="E13" s="6" t="s">
        <v>34</v>
      </c>
      <c r="F13" s="635" t="s">
        <v>35</v>
      </c>
      <c r="G13" s="637"/>
      <c r="H13" s="636" t="s">
        <v>4</v>
      </c>
      <c r="I13" s="636"/>
      <c r="J13" s="636"/>
      <c r="K13" s="636"/>
      <c r="L13" s="637"/>
    </row>
    <row r="14" spans="1:15" ht="15" customHeight="1">
      <c r="A14" s="4" t="s">
        <v>22</v>
      </c>
      <c r="B14" s="64">
        <v>216</v>
      </c>
      <c r="C14" s="29">
        <v>160</v>
      </c>
      <c r="D14" s="29">
        <v>52</v>
      </c>
      <c r="E14" s="29">
        <f>B14-C14-D14</f>
        <v>4</v>
      </c>
      <c r="F14" s="627">
        <f>C14/B14</f>
        <v>0.7407407407407407</v>
      </c>
      <c r="G14" s="628"/>
      <c r="H14" s="629"/>
      <c r="I14" s="629"/>
      <c r="J14" s="629"/>
      <c r="K14" s="629"/>
      <c r="L14" s="630"/>
    </row>
    <row r="15" spans="1:15" ht="15" customHeight="1">
      <c r="A15" s="4" t="s">
        <v>20</v>
      </c>
      <c r="B15" s="64">
        <v>216</v>
      </c>
      <c r="C15" s="29">
        <v>185</v>
      </c>
      <c r="D15" s="29">
        <v>20</v>
      </c>
      <c r="E15" s="29">
        <f>B15-C15-D15</f>
        <v>11</v>
      </c>
      <c r="F15" s="627">
        <f t="shared" ref="F15:F18" si="0">C15/B15</f>
        <v>0.85648148148148151</v>
      </c>
      <c r="G15" s="628"/>
      <c r="H15" s="629"/>
      <c r="I15" s="629"/>
      <c r="J15" s="629"/>
      <c r="K15" s="629"/>
      <c r="L15" s="630"/>
    </row>
    <row r="16" spans="1:15" ht="15" customHeight="1">
      <c r="A16" s="4" t="s">
        <v>64</v>
      </c>
      <c r="B16" s="64">
        <v>216</v>
      </c>
      <c r="C16" s="29">
        <v>186</v>
      </c>
      <c r="D16" s="29">
        <v>19</v>
      </c>
      <c r="E16" s="29">
        <f>B16-C16-D16</f>
        <v>11</v>
      </c>
      <c r="F16" s="627">
        <f t="shared" si="0"/>
        <v>0.86111111111111116</v>
      </c>
      <c r="G16" s="628"/>
      <c r="H16" s="629"/>
      <c r="I16" s="629"/>
      <c r="J16" s="629"/>
      <c r="K16" s="629"/>
      <c r="L16" s="630"/>
    </row>
    <row r="17" spans="1:12" ht="15" customHeight="1">
      <c r="A17" s="4" t="s">
        <v>21</v>
      </c>
      <c r="B17" s="64">
        <v>216</v>
      </c>
      <c r="C17" s="29">
        <v>186</v>
      </c>
      <c r="D17" s="29">
        <v>17</v>
      </c>
      <c r="E17" s="29">
        <f t="shared" ref="E17:E18" si="1">B17-C17-D17</f>
        <v>13</v>
      </c>
      <c r="F17" s="627">
        <f t="shared" si="0"/>
        <v>0.86111111111111116</v>
      </c>
      <c r="G17" s="628"/>
      <c r="H17" s="629"/>
      <c r="I17" s="629"/>
      <c r="J17" s="629"/>
      <c r="K17" s="629"/>
      <c r="L17" s="630"/>
    </row>
    <row r="18" spans="1:12" ht="15" customHeight="1">
      <c r="A18" s="4" t="s">
        <v>65</v>
      </c>
      <c r="B18" s="64">
        <v>216</v>
      </c>
      <c r="C18" s="29">
        <v>182</v>
      </c>
      <c r="D18" s="89">
        <v>17</v>
      </c>
      <c r="E18" s="29">
        <f t="shared" si="1"/>
        <v>17</v>
      </c>
      <c r="F18" s="627">
        <f t="shared" si="0"/>
        <v>0.84259259259259256</v>
      </c>
      <c r="G18" s="628"/>
      <c r="H18" s="629"/>
      <c r="I18" s="629"/>
      <c r="J18" s="629"/>
      <c r="K18" s="629"/>
      <c r="L18" s="630"/>
    </row>
    <row r="19" spans="1:12" ht="15" hidden="1" customHeight="1">
      <c r="A19" s="4" t="s">
        <v>31</v>
      </c>
      <c r="B19" s="61"/>
      <c r="C19" s="29"/>
      <c r="D19" s="61"/>
      <c r="E19" s="29">
        <f t="shared" ref="E19:E20" si="2">B19-C19-D19</f>
        <v>0</v>
      </c>
      <c r="F19" s="627" t="e">
        <f t="shared" ref="F19:F20" si="3">C19/B19</f>
        <v>#DIV/0!</v>
      </c>
      <c r="G19" s="628"/>
      <c r="H19" s="629"/>
      <c r="I19" s="629"/>
      <c r="J19" s="629"/>
      <c r="K19" s="629"/>
      <c r="L19" s="630"/>
    </row>
    <row r="20" spans="1:12" ht="15" hidden="1" customHeight="1">
      <c r="A20" s="4" t="s">
        <v>30</v>
      </c>
      <c r="B20" s="61"/>
      <c r="C20" s="29"/>
      <c r="D20" s="61"/>
      <c r="E20" s="29">
        <f t="shared" si="2"/>
        <v>0</v>
      </c>
      <c r="F20" s="627" t="e">
        <f t="shared" si="3"/>
        <v>#DIV/0!</v>
      </c>
      <c r="G20" s="628"/>
      <c r="H20" s="629"/>
      <c r="I20" s="629"/>
      <c r="J20" s="629"/>
      <c r="K20" s="629"/>
      <c r="L20" s="630"/>
    </row>
    <row r="21" spans="1:12" ht="15.6">
      <c r="A21" s="634" t="s">
        <v>11</v>
      </c>
      <c r="B21" s="634"/>
      <c r="C21" s="634"/>
      <c r="D21" s="634"/>
      <c r="E21" s="634"/>
      <c r="F21" s="634"/>
      <c r="G21" s="634"/>
      <c r="H21" s="634"/>
      <c r="I21" s="634"/>
      <c r="J21" s="634"/>
      <c r="K21" s="634"/>
      <c r="L21" s="634"/>
    </row>
    <row r="22" spans="1:12" ht="12.6" customHeight="1">
      <c r="A22" s="405" t="s">
        <v>75</v>
      </c>
      <c r="B22" s="405" t="s">
        <v>76</v>
      </c>
      <c r="C22" s="405" t="s">
        <v>77</v>
      </c>
      <c r="D22" s="405" t="s">
        <v>78</v>
      </c>
      <c r="E22" s="405" t="s">
        <v>79</v>
      </c>
      <c r="F22" s="405" t="s">
        <v>80</v>
      </c>
      <c r="G22" s="405" t="s">
        <v>81</v>
      </c>
      <c r="H22" s="121" t="s">
        <v>4</v>
      </c>
      <c r="I22" s="121"/>
      <c r="J22" s="121"/>
      <c r="K22" s="121"/>
      <c r="L22" s="122"/>
    </row>
    <row r="23" spans="1:12">
      <c r="A23" s="406" t="s">
        <v>82</v>
      </c>
      <c r="B23" s="407">
        <v>0</v>
      </c>
      <c r="C23" s="407">
        <v>13407699.970000001</v>
      </c>
      <c r="D23" s="408">
        <v>13407699.970000001</v>
      </c>
      <c r="E23" s="409">
        <v>52933199.089999996</v>
      </c>
      <c r="F23" s="410">
        <v>67482151.919999987</v>
      </c>
      <c r="G23" s="411">
        <v>14548952.829999991</v>
      </c>
      <c r="H23" s="123"/>
      <c r="I23" s="124"/>
      <c r="J23" s="124"/>
      <c r="K23" s="124"/>
      <c r="L23" s="125"/>
    </row>
    <row r="24" spans="1:12" s="109" customFormat="1">
      <c r="A24" s="406" t="s">
        <v>83</v>
      </c>
      <c r="B24" s="407">
        <v>0</v>
      </c>
      <c r="C24" s="407">
        <v>787163.23</v>
      </c>
      <c r="D24" s="408">
        <v>787163.23</v>
      </c>
      <c r="E24" s="409">
        <v>4843543.8600000013</v>
      </c>
      <c r="F24" s="410">
        <v>3935816.1499999994</v>
      </c>
      <c r="G24" s="412">
        <v>-907727.71000000183</v>
      </c>
      <c r="H24" s="116"/>
      <c r="I24" s="117"/>
      <c r="J24" s="117"/>
      <c r="K24" s="117"/>
      <c r="L24" s="118"/>
    </row>
    <row r="25" spans="1:12">
      <c r="A25" s="406" t="s">
        <v>84</v>
      </c>
      <c r="B25" s="407">
        <v>0</v>
      </c>
      <c r="C25" s="407">
        <v>2262957.4900000002</v>
      </c>
      <c r="D25" s="408">
        <v>2262957.4900000002</v>
      </c>
      <c r="E25" s="409">
        <v>-1304713.7200000004</v>
      </c>
      <c r="F25" s="410">
        <v>11314787.449999999</v>
      </c>
      <c r="G25" s="411">
        <v>12619501.17</v>
      </c>
      <c r="H25" s="123"/>
      <c r="I25" s="124"/>
      <c r="J25" s="124"/>
      <c r="K25" s="124"/>
      <c r="L25" s="125"/>
    </row>
    <row r="26" spans="1:12">
      <c r="A26" s="406" t="s">
        <v>85</v>
      </c>
      <c r="B26" s="407">
        <v>4185135.5100000044</v>
      </c>
      <c r="C26" s="407">
        <v>7130561.5</v>
      </c>
      <c r="D26" s="408">
        <v>2945425.9899999956</v>
      </c>
      <c r="E26" s="409">
        <v>29987791.849999849</v>
      </c>
      <c r="F26" s="410">
        <v>37708465.5</v>
      </c>
      <c r="G26" s="411">
        <v>7720673.6500001512</v>
      </c>
      <c r="H26" s="68"/>
      <c r="I26" s="69"/>
      <c r="J26" s="69"/>
      <c r="K26" s="69"/>
      <c r="L26" s="70"/>
    </row>
    <row r="27" spans="1:12" s="109" customFormat="1">
      <c r="A27" s="406" t="s">
        <v>86</v>
      </c>
      <c r="B27" s="407">
        <v>670721.61</v>
      </c>
      <c r="C27" s="407">
        <v>3767889.76</v>
      </c>
      <c r="D27" s="408">
        <v>3097168.15</v>
      </c>
      <c r="E27" s="409">
        <v>17190951.450000007</v>
      </c>
      <c r="F27" s="410">
        <v>19411921.52</v>
      </c>
      <c r="G27" s="411">
        <v>2220970.0699999928</v>
      </c>
      <c r="H27" s="116"/>
      <c r="I27" s="119"/>
      <c r="J27" s="119"/>
      <c r="K27" s="119"/>
      <c r="L27" s="120"/>
    </row>
    <row r="28" spans="1:12" ht="19.95" customHeight="1">
      <c r="A28" s="406" t="s">
        <v>87</v>
      </c>
      <c r="B28" s="407">
        <v>-532743.35000000009</v>
      </c>
      <c r="C28" s="407">
        <v>1848208.8</v>
      </c>
      <c r="D28" s="408">
        <v>2380952.1500000004</v>
      </c>
      <c r="E28" s="409">
        <v>3992732.4599999995</v>
      </c>
      <c r="F28" s="410">
        <v>9194556.6899999995</v>
      </c>
      <c r="G28" s="411">
        <v>5201824.2300000004</v>
      </c>
      <c r="H28" s="126"/>
      <c r="I28" s="127"/>
      <c r="J28" s="127"/>
      <c r="K28" s="127"/>
      <c r="L28" s="128"/>
    </row>
    <row r="29" spans="1:12">
      <c r="A29" s="406" t="s">
        <v>88</v>
      </c>
      <c r="B29" s="407">
        <v>80546.959999999992</v>
      </c>
      <c r="C29" s="407">
        <v>225133</v>
      </c>
      <c r="D29" s="408">
        <v>144586.04</v>
      </c>
      <c r="E29" s="409">
        <v>758072.87999999989</v>
      </c>
      <c r="F29" s="410">
        <v>1204667.5</v>
      </c>
      <c r="G29" s="411">
        <v>446594.62000000011</v>
      </c>
      <c r="H29" s="123"/>
      <c r="I29" s="124"/>
      <c r="J29" s="124"/>
      <c r="K29" s="124"/>
      <c r="L29" s="125"/>
    </row>
    <row r="30" spans="1:12">
      <c r="A30" s="413" t="s">
        <v>89</v>
      </c>
      <c r="B30" s="414">
        <v>4403660.7300000042</v>
      </c>
      <c r="C30" s="414">
        <v>29429613.750000004</v>
      </c>
      <c r="D30" s="415">
        <v>25025953.019999996</v>
      </c>
      <c r="E30" s="416">
        <v>108401577.86999984</v>
      </c>
      <c r="F30" s="417">
        <v>150252366.72999999</v>
      </c>
      <c r="G30" s="418">
        <v>41850788.860000134</v>
      </c>
      <c r="H30" s="123"/>
      <c r="I30" s="124"/>
      <c r="J30" s="124"/>
      <c r="K30" s="124"/>
      <c r="L30" s="125"/>
    </row>
    <row r="31" spans="1:12" ht="36.75" customHeight="1">
      <c r="A31" s="634" t="s">
        <v>39</v>
      </c>
      <c r="B31" s="634"/>
      <c r="C31" s="634"/>
      <c r="D31" s="634"/>
      <c r="E31" s="634"/>
      <c r="F31" s="634"/>
      <c r="G31" s="634"/>
      <c r="H31" s="634"/>
      <c r="I31" s="634"/>
      <c r="J31" s="634"/>
      <c r="K31" s="634"/>
      <c r="L31" s="634"/>
    </row>
    <row r="32" spans="1:12" ht="15.6">
      <c r="A32" s="631" t="s">
        <v>17</v>
      </c>
      <c r="B32" s="632"/>
      <c r="C32" s="632"/>
      <c r="D32" s="632"/>
      <c r="E32" s="633"/>
      <c r="F32" s="2" t="s">
        <v>18</v>
      </c>
      <c r="G32" s="2" t="s">
        <v>19</v>
      </c>
      <c r="H32" s="635" t="s">
        <v>4</v>
      </c>
      <c r="I32" s="636"/>
      <c r="J32" s="636"/>
      <c r="K32" s="636"/>
      <c r="L32" s="637"/>
    </row>
    <row r="33" spans="1:15">
      <c r="A33" s="648" t="s">
        <v>517</v>
      </c>
      <c r="B33" s="649"/>
      <c r="C33" s="649"/>
      <c r="D33" s="649"/>
      <c r="E33" s="650"/>
      <c r="F33" s="14"/>
      <c r="G33" s="14" t="s">
        <v>527</v>
      </c>
      <c r="H33" s="645" t="s">
        <v>528</v>
      </c>
      <c r="I33" s="646"/>
      <c r="J33" s="646"/>
      <c r="K33" s="646"/>
      <c r="L33" s="647"/>
    </row>
    <row r="34" spans="1:15" ht="15" customHeight="1">
      <c r="A34" s="648" t="s">
        <v>518</v>
      </c>
      <c r="B34" s="649"/>
      <c r="C34" s="649"/>
      <c r="D34" s="649"/>
      <c r="E34" s="650"/>
      <c r="F34" s="14" t="s">
        <v>527</v>
      </c>
      <c r="G34" s="14"/>
      <c r="H34" s="645"/>
      <c r="I34" s="646"/>
      <c r="J34" s="646"/>
      <c r="K34" s="646"/>
      <c r="L34" s="647"/>
    </row>
    <row r="35" spans="1:15" ht="14.4" customHeight="1">
      <c r="A35" s="648" t="s">
        <v>521</v>
      </c>
      <c r="B35" s="649"/>
      <c r="C35" s="649"/>
      <c r="D35" s="649"/>
      <c r="E35" s="650"/>
      <c r="F35" s="14" t="s">
        <v>527</v>
      </c>
      <c r="G35" s="15"/>
      <c r="H35" s="645"/>
      <c r="I35" s="646"/>
      <c r="J35" s="646"/>
      <c r="K35" s="646"/>
      <c r="L35" s="647"/>
    </row>
    <row r="36" spans="1:15" ht="14.4" customHeight="1">
      <c r="A36" s="648" t="s">
        <v>522</v>
      </c>
      <c r="B36" s="649"/>
      <c r="C36" s="649"/>
      <c r="D36" s="649"/>
      <c r="E36" s="650"/>
      <c r="F36" s="14" t="s">
        <v>527</v>
      </c>
      <c r="G36" s="15"/>
      <c r="H36" s="645"/>
      <c r="I36" s="646"/>
      <c r="J36" s="646"/>
      <c r="K36" s="646"/>
      <c r="L36" s="647"/>
    </row>
    <row r="37" spans="1:15" ht="14.4" customHeight="1">
      <c r="A37" s="648" t="s">
        <v>523</v>
      </c>
      <c r="B37" s="649"/>
      <c r="C37" s="649"/>
      <c r="D37" s="649"/>
      <c r="E37" s="650"/>
      <c r="F37" s="14" t="s">
        <v>527</v>
      </c>
      <c r="G37" s="15"/>
      <c r="H37" s="645"/>
      <c r="I37" s="646"/>
      <c r="J37" s="646"/>
      <c r="K37" s="646"/>
      <c r="L37" s="647"/>
    </row>
    <row r="38" spans="1:15" s="90" customFormat="1" ht="14.4" customHeight="1">
      <c r="A38" s="648" t="s">
        <v>524</v>
      </c>
      <c r="B38" s="649"/>
      <c r="C38" s="649"/>
      <c r="D38" s="649"/>
      <c r="E38" s="650"/>
      <c r="F38" s="14" t="s">
        <v>527</v>
      </c>
      <c r="G38" s="15"/>
      <c r="H38" s="104"/>
      <c r="I38" s="105"/>
      <c r="J38" s="105"/>
      <c r="K38" s="105"/>
      <c r="L38" s="106"/>
    </row>
    <row r="39" spans="1:15" s="71" customFormat="1">
      <c r="A39" s="648" t="s">
        <v>73</v>
      </c>
      <c r="B39" s="649"/>
      <c r="C39" s="649"/>
      <c r="D39" s="649"/>
      <c r="E39" s="650"/>
      <c r="F39" s="81" t="s">
        <v>527</v>
      </c>
      <c r="G39" s="81"/>
      <c r="H39" s="645"/>
      <c r="I39" s="646"/>
      <c r="J39" s="646"/>
      <c r="K39" s="646"/>
      <c r="L39" s="647"/>
    </row>
    <row r="40" spans="1:15" s="90" customFormat="1">
      <c r="A40" s="648" t="s">
        <v>525</v>
      </c>
      <c r="B40" s="649"/>
      <c r="C40" s="649"/>
      <c r="D40" s="649"/>
      <c r="E40" s="650"/>
      <c r="F40" s="103" t="s">
        <v>527</v>
      </c>
      <c r="G40" s="103"/>
      <c r="H40" s="104"/>
      <c r="I40" s="105"/>
      <c r="J40" s="105"/>
      <c r="K40" s="105"/>
      <c r="L40" s="106"/>
    </row>
    <row r="41" spans="1:15">
      <c r="A41" s="648"/>
      <c r="B41" s="649"/>
      <c r="C41" s="649"/>
      <c r="D41" s="649"/>
      <c r="E41" s="650"/>
      <c r="F41" s="14"/>
      <c r="G41" s="15"/>
      <c r="H41" s="652"/>
      <c r="I41" s="653"/>
      <c r="J41" s="653"/>
      <c r="K41" s="653"/>
      <c r="L41" s="654"/>
    </row>
    <row r="42" spans="1:15">
      <c r="A42" s="65"/>
      <c r="B42" s="62" t="s">
        <v>22</v>
      </c>
      <c r="C42" s="62" t="s">
        <v>20</v>
      </c>
      <c r="D42" s="62" t="s">
        <v>64</v>
      </c>
      <c r="E42" s="62" t="s">
        <v>21</v>
      </c>
      <c r="F42" s="62" t="s">
        <v>65</v>
      </c>
      <c r="G42" s="62" t="s">
        <v>66</v>
      </c>
      <c r="H42" s="645"/>
      <c r="I42" s="646"/>
      <c r="J42" s="646"/>
      <c r="K42" s="646"/>
      <c r="L42" s="647"/>
    </row>
    <row r="43" spans="1:15" ht="21.75" customHeight="1">
      <c r="A43" s="2" t="s">
        <v>25</v>
      </c>
      <c r="B43" s="82">
        <v>0.91</v>
      </c>
      <c r="C43" s="82">
        <v>0.97</v>
      </c>
      <c r="D43" s="82">
        <v>0.99</v>
      </c>
      <c r="E43" s="82">
        <v>0.9</v>
      </c>
      <c r="F43" s="82">
        <v>0.91</v>
      </c>
      <c r="G43" s="11">
        <f>AVERAGE(B43:F43)</f>
        <v>0.93599999999999994</v>
      </c>
      <c r="H43" s="645"/>
      <c r="I43" s="646"/>
      <c r="J43" s="646"/>
      <c r="K43" s="646"/>
      <c r="L43" s="647"/>
      <c r="M43" s="24"/>
      <c r="O43" s="23"/>
    </row>
    <row r="44" spans="1:15" ht="21.75" customHeight="1">
      <c r="A44" s="2" t="s">
        <v>26</v>
      </c>
      <c r="B44" s="82">
        <v>0.74</v>
      </c>
      <c r="C44" s="82">
        <v>1</v>
      </c>
      <c r="D44" s="82">
        <v>1</v>
      </c>
      <c r="E44" s="82">
        <v>0.9</v>
      </c>
      <c r="F44" s="82">
        <v>0.84</v>
      </c>
      <c r="G44" s="11">
        <f t="shared" ref="G44:G47" si="4">AVERAGE(B44:F44)</f>
        <v>0.89600000000000013</v>
      </c>
      <c r="H44" s="645"/>
      <c r="I44" s="646"/>
      <c r="J44" s="646"/>
      <c r="K44" s="646"/>
      <c r="L44" s="647"/>
      <c r="M44" s="24"/>
      <c r="O44" s="23"/>
    </row>
    <row r="45" spans="1:15">
      <c r="A45" s="2" t="s">
        <v>23</v>
      </c>
      <c r="B45" s="82">
        <v>0.82</v>
      </c>
      <c r="C45" s="82">
        <v>0.96</v>
      </c>
      <c r="D45" s="82">
        <v>1</v>
      </c>
      <c r="E45" s="82">
        <v>0.96</v>
      </c>
      <c r="F45" s="82">
        <v>0.95</v>
      </c>
      <c r="G45" s="11">
        <f t="shared" si="4"/>
        <v>0.93799999999999994</v>
      </c>
      <c r="H45" s="645"/>
      <c r="I45" s="646"/>
      <c r="J45" s="646"/>
      <c r="K45" s="646"/>
      <c r="L45" s="647"/>
    </row>
    <row r="46" spans="1:15">
      <c r="A46" s="2" t="s">
        <v>24</v>
      </c>
      <c r="B46" s="82">
        <v>0.98</v>
      </c>
      <c r="C46" s="82">
        <v>1</v>
      </c>
      <c r="D46" s="82">
        <v>0.95</v>
      </c>
      <c r="E46" s="82">
        <v>0.94</v>
      </c>
      <c r="F46" s="82">
        <v>0.98</v>
      </c>
      <c r="G46" s="11">
        <f t="shared" si="4"/>
        <v>0.97</v>
      </c>
      <c r="H46" s="655"/>
      <c r="I46" s="656"/>
      <c r="J46" s="656"/>
      <c r="K46" s="656"/>
      <c r="L46" s="657"/>
    </row>
    <row r="47" spans="1:15">
      <c r="A47" s="2" t="s">
        <v>27</v>
      </c>
      <c r="B47" s="82">
        <v>0.97</v>
      </c>
      <c r="C47" s="82">
        <v>1</v>
      </c>
      <c r="D47" s="82">
        <v>1</v>
      </c>
      <c r="E47" s="82">
        <v>0.99</v>
      </c>
      <c r="F47" s="82">
        <v>0.83</v>
      </c>
      <c r="G47" s="11">
        <f t="shared" si="4"/>
        <v>0.95799999999999996</v>
      </c>
      <c r="H47" s="648"/>
      <c r="I47" s="649"/>
      <c r="J47" s="649"/>
      <c r="K47" s="649"/>
      <c r="L47" s="650"/>
    </row>
    <row r="48" spans="1:15">
      <c r="A48" s="26"/>
      <c r="B48" s="658"/>
      <c r="C48" s="659"/>
      <c r="D48" s="659"/>
      <c r="E48" s="659"/>
      <c r="F48" s="660"/>
      <c r="G48" s="27"/>
      <c r="H48" s="25"/>
      <c r="I48" s="20"/>
      <c r="J48" s="20"/>
      <c r="K48" s="20"/>
      <c r="L48" s="21"/>
    </row>
    <row r="49" spans="1:14">
      <c r="A49" s="28" t="s">
        <v>68</v>
      </c>
      <c r="B49" s="28"/>
      <c r="C49" s="28"/>
      <c r="D49" s="28"/>
      <c r="E49" s="28"/>
      <c r="F49" s="28"/>
      <c r="G49" s="28"/>
      <c r="H49" s="28"/>
      <c r="I49" s="28"/>
      <c r="J49" s="28"/>
      <c r="K49" s="28"/>
      <c r="L49" s="28"/>
      <c r="N49">
        <f>1198+1853+1991</f>
        <v>5042</v>
      </c>
    </row>
    <row r="50" spans="1:14">
      <c r="A50" s="12"/>
      <c r="B50" s="10" t="s">
        <v>9</v>
      </c>
      <c r="C50" s="10"/>
      <c r="D50" s="636"/>
      <c r="E50" s="636"/>
      <c r="F50" s="636"/>
      <c r="G50" s="636"/>
      <c r="H50" s="636"/>
      <c r="I50" s="636"/>
      <c r="J50" s="636"/>
      <c r="K50" s="636"/>
      <c r="L50" s="637"/>
    </row>
    <row r="51" spans="1:14" ht="15" customHeight="1">
      <c r="A51" s="4" t="s">
        <v>23</v>
      </c>
      <c r="B51" s="13">
        <v>6</v>
      </c>
      <c r="C51" s="13">
        <v>6</v>
      </c>
      <c r="D51" s="642"/>
      <c r="E51" s="643"/>
      <c r="F51" s="643"/>
      <c r="G51" s="643"/>
      <c r="H51" s="643"/>
      <c r="I51" s="643"/>
      <c r="J51" s="643"/>
      <c r="K51" s="643"/>
      <c r="L51" s="644"/>
    </row>
    <row r="52" spans="1:14" ht="15" customHeight="1">
      <c r="A52" s="2" t="s">
        <v>24</v>
      </c>
      <c r="B52" s="13">
        <v>6</v>
      </c>
      <c r="C52" s="13">
        <v>5</v>
      </c>
      <c r="D52" s="642" t="s">
        <v>74</v>
      </c>
      <c r="E52" s="643"/>
      <c r="F52" s="643"/>
      <c r="G52" s="643"/>
      <c r="H52" s="643"/>
      <c r="I52" s="643"/>
      <c r="J52" s="643"/>
      <c r="K52" s="643"/>
      <c r="L52" s="644"/>
    </row>
    <row r="53" spans="1:14" ht="15" customHeight="1">
      <c r="A53" s="2" t="s">
        <v>25</v>
      </c>
      <c r="B53" s="13">
        <v>9</v>
      </c>
      <c r="C53" s="13">
        <v>9</v>
      </c>
      <c r="D53" s="642"/>
      <c r="E53" s="643"/>
      <c r="F53" s="643"/>
      <c r="G53" s="643"/>
      <c r="H53" s="643"/>
      <c r="I53" s="643"/>
      <c r="J53" s="643"/>
      <c r="K53" s="643"/>
      <c r="L53" s="644"/>
      <c r="M53" t="s">
        <v>54</v>
      </c>
    </row>
    <row r="54" spans="1:14" ht="15" customHeight="1">
      <c r="A54" s="2" t="s">
        <v>26</v>
      </c>
      <c r="B54" s="22">
        <v>6</v>
      </c>
      <c r="C54" s="13">
        <v>5</v>
      </c>
      <c r="D54" s="642" t="s">
        <v>421</v>
      </c>
      <c r="E54" s="643"/>
      <c r="F54" s="643"/>
      <c r="G54" s="643"/>
      <c r="H54" s="643"/>
      <c r="I54" s="643"/>
      <c r="J54" s="643"/>
      <c r="K54" s="643"/>
      <c r="L54" s="644"/>
    </row>
    <row r="55" spans="1:14" ht="15" customHeight="1">
      <c r="A55" s="2" t="s">
        <v>27</v>
      </c>
      <c r="B55" s="13">
        <v>6</v>
      </c>
      <c r="C55" s="111">
        <v>5</v>
      </c>
      <c r="D55" s="642" t="s">
        <v>422</v>
      </c>
      <c r="E55" s="643"/>
      <c r="F55" s="643"/>
      <c r="G55" s="643"/>
      <c r="H55" s="643"/>
      <c r="I55" s="643"/>
      <c r="J55" s="643"/>
      <c r="K55" s="643"/>
      <c r="L55" s="644"/>
    </row>
    <row r="56" spans="1:14" ht="15" customHeight="1">
      <c r="A56" s="2" t="s">
        <v>36</v>
      </c>
      <c r="B56" s="13">
        <v>3</v>
      </c>
      <c r="C56" s="111">
        <v>3</v>
      </c>
      <c r="D56" s="642"/>
      <c r="E56" s="643"/>
      <c r="F56" s="643"/>
      <c r="G56" s="643"/>
      <c r="H56" s="643"/>
      <c r="I56" s="643"/>
      <c r="J56" s="643"/>
      <c r="K56" s="643"/>
      <c r="L56" s="644"/>
    </row>
    <row r="57" spans="1:14" ht="15" customHeight="1">
      <c r="A57" s="2" t="s">
        <v>37</v>
      </c>
      <c r="B57" s="13">
        <v>3</v>
      </c>
      <c r="C57" s="13">
        <v>2</v>
      </c>
      <c r="D57" s="642" t="s">
        <v>423</v>
      </c>
      <c r="E57" s="643"/>
      <c r="F57" s="643"/>
      <c r="G57" s="643"/>
      <c r="H57" s="643"/>
      <c r="I57" s="643"/>
      <c r="J57" s="643"/>
      <c r="K57" s="643"/>
      <c r="L57" s="644"/>
    </row>
    <row r="58" spans="1:14">
      <c r="A58" s="651" t="s">
        <v>38</v>
      </c>
      <c r="B58" s="651"/>
      <c r="C58" s="651"/>
      <c r="D58" s="651"/>
      <c r="E58" s="651"/>
      <c r="F58" s="651"/>
      <c r="G58" s="651"/>
      <c r="H58" s="651"/>
      <c r="I58" s="651"/>
      <c r="J58" s="651"/>
      <c r="K58" s="651"/>
      <c r="L58" s="651"/>
    </row>
    <row r="59" spans="1:14">
      <c r="C59" s="23"/>
    </row>
    <row r="60" spans="1:14">
      <c r="A60" s="67" t="s">
        <v>67</v>
      </c>
    </row>
    <row r="65" spans="2:6">
      <c r="B65" s="82"/>
      <c r="C65" s="82"/>
      <c r="D65" s="82"/>
      <c r="E65" s="82"/>
      <c r="F65" s="114"/>
    </row>
  </sheetData>
  <mergeCells count="59">
    <mergeCell ref="A58:L58"/>
    <mergeCell ref="D56:L56"/>
    <mergeCell ref="H41:L41"/>
    <mergeCell ref="H45:L45"/>
    <mergeCell ref="D51:L51"/>
    <mergeCell ref="H46:L46"/>
    <mergeCell ref="B48:F48"/>
    <mergeCell ref="A41:E41"/>
    <mergeCell ref="H44:L44"/>
    <mergeCell ref="D52:L52"/>
    <mergeCell ref="D55:L55"/>
    <mergeCell ref="D57:L57"/>
    <mergeCell ref="D53:L53"/>
    <mergeCell ref="D50:L50"/>
    <mergeCell ref="H42:L42"/>
    <mergeCell ref="H47:L47"/>
    <mergeCell ref="D54:L54"/>
    <mergeCell ref="H39:L39"/>
    <mergeCell ref="H43:L43"/>
    <mergeCell ref="H33:L33"/>
    <mergeCell ref="A33:E33"/>
    <mergeCell ref="A35:E35"/>
    <mergeCell ref="H35:L35"/>
    <mergeCell ref="H36:L36"/>
    <mergeCell ref="A36:E36"/>
    <mergeCell ref="H34:L34"/>
    <mergeCell ref="A34:E34"/>
    <mergeCell ref="A38:E38"/>
    <mergeCell ref="A40:E40"/>
    <mergeCell ref="H37:L37"/>
    <mergeCell ref="A37:E37"/>
    <mergeCell ref="A39:E39"/>
    <mergeCell ref="D11:L11"/>
    <mergeCell ref="H13:L13"/>
    <mergeCell ref="F13:G13"/>
    <mergeCell ref="F15:G15"/>
    <mergeCell ref="F16:G16"/>
    <mergeCell ref="H15:L15"/>
    <mergeCell ref="H14:L14"/>
    <mergeCell ref="H16:L16"/>
    <mergeCell ref="F14:G14"/>
    <mergeCell ref="A12:L12"/>
    <mergeCell ref="A6:L6"/>
    <mergeCell ref="D7:L7"/>
    <mergeCell ref="D8:L8"/>
    <mergeCell ref="D9:L9"/>
    <mergeCell ref="D10:L10"/>
    <mergeCell ref="F17:G17"/>
    <mergeCell ref="F18:G18"/>
    <mergeCell ref="H17:L17"/>
    <mergeCell ref="A32:E32"/>
    <mergeCell ref="H18:L18"/>
    <mergeCell ref="A21:L21"/>
    <mergeCell ref="H19:L19"/>
    <mergeCell ref="H20:L20"/>
    <mergeCell ref="F20:G20"/>
    <mergeCell ref="F19:G19"/>
    <mergeCell ref="A31:L31"/>
    <mergeCell ref="H32:L32"/>
  </mergeCells>
  <conditionalFormatting sqref="N34:N36">
    <cfRule type="cellIs" dxfId="80" priority="34" operator="between">
      <formula>1</formula>
      <formula>79.9</formula>
    </cfRule>
    <cfRule type="cellIs" dxfId="79" priority="35" operator="between">
      <formula>80</formula>
      <formula>84.9</formula>
    </cfRule>
    <cfRule type="cellIs" dxfId="78" priority="36" operator="greaterThan">
      <formula>85</formula>
    </cfRule>
  </conditionalFormatting>
  <conditionalFormatting sqref="G43:G48 B48 B43:F43">
    <cfRule type="cellIs" dxfId="77" priority="27" operator="greaterThan">
      <formula>0.849</formula>
    </cfRule>
    <cfRule type="cellIs" dxfId="76" priority="28" operator="between">
      <formula>0.01</formula>
      <formula>0.799</formula>
    </cfRule>
    <cfRule type="cellIs" dxfId="75" priority="29" operator="between">
      <formula>0.8</formula>
      <formula>0.849</formula>
    </cfRule>
  </conditionalFormatting>
  <conditionalFormatting sqref="N37:N42">
    <cfRule type="cellIs" dxfId="74" priority="24" operator="between">
      <formula>1</formula>
      <formula>79.9</formula>
    </cfRule>
    <cfRule type="cellIs" dxfId="73" priority="25" operator="between">
      <formula>80</formula>
      <formula>84.9</formula>
    </cfRule>
    <cfRule type="cellIs" dxfId="72" priority="26" operator="greaterThan">
      <formula>85</formula>
    </cfRule>
  </conditionalFormatting>
  <conditionalFormatting sqref="B44:F47">
    <cfRule type="cellIs" dxfId="71" priority="21" operator="greaterThan">
      <formula>0.849</formula>
    </cfRule>
    <cfRule type="cellIs" dxfId="70" priority="22" operator="between">
      <formula>0.01</formula>
      <formula>0.799</formula>
    </cfRule>
    <cfRule type="cellIs" dxfId="69" priority="23" operator="between">
      <formula>0.8</formula>
      <formula>0.849</formula>
    </cfRule>
  </conditionalFormatting>
  <conditionalFormatting sqref="B65:F65">
    <cfRule type="cellIs" dxfId="68" priority="1" operator="greaterThan">
      <formula>0.849</formula>
    </cfRule>
    <cfRule type="cellIs" dxfId="67" priority="2" operator="between">
      <formula>0.01</formula>
      <formula>0.799</formula>
    </cfRule>
    <cfRule type="cellIs" dxfId="66" priority="3" operator="between">
      <formula>0.8</formula>
      <formula>0.849</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7"/>
  <sheetViews>
    <sheetView topLeftCell="A112" zoomScale="90" zoomScaleNormal="90" workbookViewId="0">
      <selection activeCell="B101" sqref="B101"/>
    </sheetView>
  </sheetViews>
  <sheetFormatPr defaultColWidth="9" defaultRowHeight="14.4"/>
  <cols>
    <col min="1" max="1" width="13.5546875" style="109" customWidth="1"/>
    <col min="2" max="2" width="49" style="109" customWidth="1"/>
    <col min="3" max="3" width="19.109375" style="109" customWidth="1"/>
    <col min="4" max="4" width="30" style="109" customWidth="1"/>
    <col min="5" max="5" width="16" style="109" customWidth="1"/>
    <col min="6" max="6" width="12.88671875" style="109" customWidth="1"/>
    <col min="7" max="7" width="34" style="109" customWidth="1"/>
    <col min="8" max="8" width="31.44140625" style="109" customWidth="1"/>
    <col min="9" max="9" width="24.5546875" style="109" customWidth="1"/>
    <col min="10" max="10" width="15.88671875" style="109" customWidth="1"/>
    <col min="11" max="11" width="5.33203125" style="109" customWidth="1"/>
    <col min="12" max="12" width="70.88671875" style="109" bestFit="1" customWidth="1"/>
    <col min="13" max="13" width="9.5546875" style="109" customWidth="1"/>
    <col min="14" max="14" width="15.6640625" style="109" customWidth="1"/>
    <col min="15" max="15" width="16.109375" style="109" customWidth="1"/>
    <col min="16" max="16" width="13.44140625" style="109" customWidth="1"/>
    <col min="17" max="17" width="47.109375" style="109" customWidth="1"/>
    <col min="18" max="20" width="12.109375" style="109" customWidth="1"/>
    <col min="21" max="21" width="12.6640625" style="109" customWidth="1"/>
    <col min="22" max="22" width="10.33203125" style="109" customWidth="1"/>
    <col min="23" max="24" width="12.109375" style="109" customWidth="1"/>
    <col min="25" max="25" width="12.88671875" style="109" customWidth="1"/>
    <col min="26" max="26" width="13.109375" style="109" customWidth="1"/>
    <col min="27" max="27" width="12.109375" style="109" customWidth="1"/>
    <col min="28" max="29" width="11.6640625" style="109" customWidth="1"/>
    <col min="30" max="30" width="11.44140625" style="109" customWidth="1"/>
    <col min="31" max="31" width="12.6640625" style="109" customWidth="1"/>
    <col min="32" max="33" width="11.6640625" style="109" customWidth="1"/>
    <col min="34" max="34" width="12.109375" style="109" customWidth="1"/>
    <col min="35" max="35" width="11.6640625" style="109" customWidth="1"/>
    <col min="36" max="40" width="12.109375" style="109" customWidth="1"/>
    <col min="41" max="41" width="13.5546875" style="109" customWidth="1"/>
    <col min="42" max="42" width="12.109375" style="109" customWidth="1"/>
    <col min="43" max="43" width="11.44140625" style="109" customWidth="1"/>
    <col min="44" max="44" width="11.6640625" style="109" customWidth="1"/>
    <col min="45" max="45" width="12" style="109" customWidth="1"/>
    <col min="46" max="46" width="12.6640625" style="109" customWidth="1"/>
    <col min="47" max="47" width="11.6640625" style="109" customWidth="1"/>
    <col min="48" max="49" width="12" style="109" customWidth="1"/>
    <col min="50" max="50" width="11.5546875" style="109" customWidth="1"/>
    <col min="51" max="51" width="12.5546875" style="109" customWidth="1"/>
    <col min="52" max="52" width="12.109375" style="109" customWidth="1"/>
    <col min="53" max="53" width="12.5546875" style="109" customWidth="1"/>
    <col min="54" max="54" width="12.6640625" style="109" customWidth="1"/>
    <col min="55" max="55" width="12.44140625" style="109" customWidth="1"/>
    <col min="56" max="56" width="12.5546875" style="109" customWidth="1"/>
    <col min="57" max="57" width="12" style="109" customWidth="1"/>
    <col min="58" max="58" width="11.44140625" style="109" customWidth="1"/>
    <col min="59" max="60" width="11.6640625" style="109" customWidth="1"/>
    <col min="61" max="64" width="12" style="109" customWidth="1"/>
    <col min="65" max="68" width="11.6640625" style="109" customWidth="1"/>
    <col min="69" max="16384" width="9" style="109"/>
  </cols>
  <sheetData>
    <row r="1" spans="2:17" ht="33.6">
      <c r="B1" s="672" t="s">
        <v>336</v>
      </c>
      <c r="C1" s="672"/>
      <c r="D1" s="672"/>
      <c r="E1" s="672"/>
      <c r="F1" s="672"/>
      <c r="G1" s="672"/>
      <c r="H1" s="672"/>
      <c r="I1" s="672"/>
      <c r="J1" s="672"/>
      <c r="K1" s="672"/>
      <c r="L1" s="672"/>
      <c r="M1" s="672"/>
    </row>
    <row r="2" spans="2:17" ht="31.2">
      <c r="B2" s="303" t="s">
        <v>337</v>
      </c>
      <c r="C2" s="304"/>
      <c r="D2" s="304"/>
      <c r="E2" s="304"/>
      <c r="F2" s="304"/>
      <c r="G2" s="304"/>
      <c r="H2" s="304"/>
      <c r="I2" s="304"/>
      <c r="J2" s="304"/>
      <c r="K2" s="304"/>
      <c r="L2" s="304"/>
      <c r="M2" s="304"/>
    </row>
    <row r="3" spans="2:17" ht="21.6" thickBot="1">
      <c r="B3" s="305" t="s">
        <v>338</v>
      </c>
      <c r="C3" s="306">
        <v>45974</v>
      </c>
    </row>
    <row r="4" spans="2:17" ht="27.75" customHeight="1" thickBot="1">
      <c r="B4" s="305" t="s">
        <v>339</v>
      </c>
      <c r="C4" s="307" t="s">
        <v>340</v>
      </c>
    </row>
    <row r="5" spans="2:17" ht="15" thickBot="1">
      <c r="I5" s="308"/>
    </row>
    <row r="6" spans="2:17" s="112" customFormat="1" ht="42.75" customHeight="1">
      <c r="B6" s="309" t="s">
        <v>341</v>
      </c>
      <c r="C6" s="341" t="s">
        <v>342</v>
      </c>
      <c r="D6" s="341" t="s">
        <v>10</v>
      </c>
      <c r="E6" s="341" t="s">
        <v>343</v>
      </c>
      <c r="F6" s="341" t="s">
        <v>344</v>
      </c>
      <c r="G6" s="310" t="s">
        <v>345</v>
      </c>
      <c r="H6" s="311" t="s">
        <v>346</v>
      </c>
      <c r="I6" s="312"/>
      <c r="J6" s="313" t="s">
        <v>347</v>
      </c>
      <c r="K6" s="314"/>
      <c r="L6" s="315" t="s">
        <v>348</v>
      </c>
      <c r="M6" s="316"/>
      <c r="O6" s="109"/>
      <c r="P6" s="109"/>
      <c r="Q6" s="109"/>
    </row>
    <row r="7" spans="2:17">
      <c r="B7" s="419" t="s">
        <v>25</v>
      </c>
      <c r="C7" s="420">
        <v>3</v>
      </c>
      <c r="D7" s="420">
        <v>3</v>
      </c>
      <c r="E7" s="317">
        <f t="shared" ref="E7:E13" si="0">IF(ISERROR(D7/C7),"",D7/C7)</f>
        <v>1</v>
      </c>
      <c r="F7" s="421">
        <v>1</v>
      </c>
      <c r="G7" s="422"/>
      <c r="H7" s="423"/>
      <c r="I7" s="424"/>
      <c r="J7" s="425"/>
      <c r="K7" s="318"/>
      <c r="L7" s="426"/>
      <c r="M7" s="319"/>
    </row>
    <row r="8" spans="2:17">
      <c r="B8" s="419" t="s">
        <v>26</v>
      </c>
      <c r="C8" s="420">
        <v>0</v>
      </c>
      <c r="D8" s="427">
        <v>0</v>
      </c>
      <c r="E8" s="320" t="str">
        <f t="shared" si="0"/>
        <v/>
      </c>
      <c r="F8" s="421">
        <v>1</v>
      </c>
      <c r="G8" s="422"/>
      <c r="H8" s="423"/>
      <c r="I8" s="321"/>
      <c r="J8" s="428"/>
      <c r="K8" s="322"/>
      <c r="L8" s="429"/>
      <c r="M8" s="319"/>
    </row>
    <row r="9" spans="2:17">
      <c r="B9" s="419" t="s">
        <v>23</v>
      </c>
      <c r="C9" s="420">
        <v>3</v>
      </c>
      <c r="D9" s="420">
        <v>3</v>
      </c>
      <c r="E9" s="320">
        <f t="shared" si="0"/>
        <v>1</v>
      </c>
      <c r="F9" s="421">
        <v>1</v>
      </c>
      <c r="G9" s="430"/>
      <c r="H9" s="431"/>
      <c r="I9" s="432"/>
      <c r="J9" s="428"/>
      <c r="K9" s="322"/>
      <c r="L9" s="421"/>
      <c r="M9" s="319"/>
    </row>
    <row r="10" spans="2:17">
      <c r="B10" s="419" t="s">
        <v>24</v>
      </c>
      <c r="C10" s="420">
        <v>2</v>
      </c>
      <c r="D10" s="420">
        <v>2</v>
      </c>
      <c r="E10" s="320">
        <f t="shared" si="0"/>
        <v>1</v>
      </c>
      <c r="F10" s="421">
        <v>1</v>
      </c>
      <c r="G10" s="433"/>
      <c r="H10" s="434"/>
      <c r="I10" s="432"/>
      <c r="J10" s="428"/>
      <c r="K10" s="322"/>
      <c r="L10" s="435"/>
      <c r="M10" s="319"/>
    </row>
    <row r="11" spans="2:17" ht="19.5" customHeight="1">
      <c r="B11" s="419" t="s">
        <v>349</v>
      </c>
      <c r="C11" s="420">
        <v>0</v>
      </c>
      <c r="D11" s="420">
        <v>0</v>
      </c>
      <c r="E11" s="320" t="str">
        <f t="shared" si="0"/>
        <v/>
      </c>
      <c r="F11" s="421">
        <v>1</v>
      </c>
      <c r="G11" s="436"/>
      <c r="H11" s="437"/>
      <c r="I11" s="432"/>
      <c r="J11" s="428"/>
      <c r="K11" s="322"/>
      <c r="L11" s="438"/>
      <c r="M11" s="319"/>
    </row>
    <row r="12" spans="2:17" ht="28.8">
      <c r="B12" s="323" t="s">
        <v>350</v>
      </c>
      <c r="C12" s="324">
        <v>10</v>
      </c>
      <c r="D12" s="324">
        <v>5</v>
      </c>
      <c r="E12" s="320">
        <f t="shared" si="0"/>
        <v>0.5</v>
      </c>
      <c r="F12" s="325">
        <v>1</v>
      </c>
      <c r="G12" s="326"/>
      <c r="H12" s="327"/>
      <c r="I12" s="432"/>
      <c r="J12" s="428"/>
      <c r="K12" s="328"/>
      <c r="L12" s="626" t="s">
        <v>519</v>
      </c>
      <c r="M12" s="329"/>
    </row>
    <row r="13" spans="2:17" ht="15" thickBot="1">
      <c r="B13" s="439" t="s">
        <v>351</v>
      </c>
      <c r="C13" s="440">
        <v>8</v>
      </c>
      <c r="D13" s="440">
        <v>8</v>
      </c>
      <c r="E13" s="441">
        <f t="shared" si="0"/>
        <v>1</v>
      </c>
      <c r="F13" s="442">
        <v>1</v>
      </c>
      <c r="G13" s="443"/>
      <c r="H13" s="444"/>
      <c r="I13" s="445"/>
      <c r="J13" s="446"/>
      <c r="K13" s="447"/>
      <c r="L13" s="448"/>
      <c r="M13" s="449"/>
    </row>
    <row r="31" spans="2:2" ht="18">
      <c r="B31" s="330" t="s">
        <v>352</v>
      </c>
    </row>
    <row r="32" spans="2:2" ht="15" thickBot="1"/>
    <row r="33" spans="2:13" ht="28.8">
      <c r="B33" s="309" t="s">
        <v>341</v>
      </c>
      <c r="C33" s="341" t="s">
        <v>342</v>
      </c>
      <c r="D33" s="341" t="s">
        <v>10</v>
      </c>
      <c r="E33" s="341" t="s">
        <v>343</v>
      </c>
      <c r="F33" s="341" t="s">
        <v>344</v>
      </c>
      <c r="G33" s="311" t="s">
        <v>353</v>
      </c>
      <c r="H33" s="312" t="s">
        <v>4</v>
      </c>
      <c r="I33" s="312"/>
      <c r="J33" s="331"/>
      <c r="K33" s="331"/>
      <c r="L33" s="332"/>
      <c r="M33" s="331"/>
    </row>
    <row r="34" spans="2:13">
      <c r="B34" s="419" t="s">
        <v>25</v>
      </c>
      <c r="C34" s="420">
        <v>0</v>
      </c>
      <c r="D34" s="427">
        <v>0</v>
      </c>
      <c r="E34" s="320" t="str">
        <f t="shared" ref="E34:E40" si="1">IF(ISERROR(D34/C34),"",D34/C34)</f>
        <v/>
      </c>
      <c r="F34" s="421">
        <v>0.95</v>
      </c>
      <c r="G34" s="450"/>
      <c r="H34" s="451"/>
      <c r="I34" s="452"/>
      <c r="J34" s="333"/>
      <c r="K34" s="333"/>
      <c r="L34" s="333"/>
      <c r="M34" s="334"/>
    </row>
    <row r="35" spans="2:13">
      <c r="B35" s="419" t="s">
        <v>26</v>
      </c>
      <c r="C35" s="420">
        <v>0</v>
      </c>
      <c r="D35" s="427">
        <v>0</v>
      </c>
      <c r="E35" s="320" t="str">
        <f t="shared" si="1"/>
        <v/>
      </c>
      <c r="F35" s="421">
        <v>0.95</v>
      </c>
      <c r="G35" s="450"/>
      <c r="H35" s="451"/>
      <c r="I35" s="335"/>
      <c r="J35" s="334"/>
      <c r="K35" s="334"/>
      <c r="L35" s="336"/>
      <c r="M35" s="334"/>
    </row>
    <row r="36" spans="2:13">
      <c r="B36" s="419" t="s">
        <v>23</v>
      </c>
      <c r="C36" s="420">
        <v>3</v>
      </c>
      <c r="D36" s="420">
        <v>3</v>
      </c>
      <c r="E36" s="320">
        <f t="shared" si="1"/>
        <v>1</v>
      </c>
      <c r="F36" s="421">
        <v>0.95</v>
      </c>
      <c r="G36" s="453"/>
      <c r="H36" s="454"/>
      <c r="I36" s="455"/>
      <c r="J36" s="334"/>
      <c r="K36" s="334"/>
      <c r="L36" s="334"/>
      <c r="M36" s="334"/>
    </row>
    <row r="37" spans="2:13">
      <c r="B37" s="419" t="s">
        <v>24</v>
      </c>
      <c r="C37" s="420">
        <v>2</v>
      </c>
      <c r="D37" s="420">
        <v>2</v>
      </c>
      <c r="E37" s="320">
        <f t="shared" si="1"/>
        <v>1</v>
      </c>
      <c r="F37" s="421">
        <v>0.95</v>
      </c>
      <c r="G37" s="456"/>
      <c r="H37" s="457"/>
      <c r="I37" s="455"/>
      <c r="J37" s="334"/>
      <c r="K37" s="334"/>
      <c r="L37" s="334"/>
      <c r="M37" s="334"/>
    </row>
    <row r="38" spans="2:13">
      <c r="B38" s="419" t="s">
        <v>349</v>
      </c>
      <c r="C38" s="420">
        <v>1</v>
      </c>
      <c r="D38" s="420">
        <v>1</v>
      </c>
      <c r="E38" s="320">
        <f t="shared" si="1"/>
        <v>1</v>
      </c>
      <c r="F38" s="421">
        <v>0.95</v>
      </c>
      <c r="G38" s="450"/>
      <c r="H38" s="458"/>
      <c r="I38" s="455"/>
      <c r="J38" s="334"/>
      <c r="K38" s="334"/>
      <c r="L38" s="333"/>
      <c r="M38" s="334"/>
    </row>
    <row r="39" spans="2:13">
      <c r="B39" s="323" t="s">
        <v>350</v>
      </c>
      <c r="C39" s="324">
        <v>6</v>
      </c>
      <c r="D39" s="324">
        <v>4</v>
      </c>
      <c r="E39" s="320">
        <f t="shared" si="1"/>
        <v>0.66666666666666663</v>
      </c>
      <c r="F39" s="325">
        <v>0.95</v>
      </c>
      <c r="G39" s="337"/>
      <c r="H39" s="459"/>
      <c r="I39" s="452"/>
      <c r="J39" s="338"/>
      <c r="K39" s="338"/>
      <c r="L39" s="333"/>
      <c r="M39" s="338"/>
    </row>
    <row r="40" spans="2:13" ht="15" thickBot="1">
      <c r="B40" s="439"/>
      <c r="C40" s="440"/>
      <c r="D40" s="440"/>
      <c r="E40" s="441" t="str">
        <f t="shared" si="1"/>
        <v/>
      </c>
      <c r="F40" s="460"/>
      <c r="G40" s="461"/>
      <c r="H40" s="462"/>
      <c r="I40" s="463"/>
      <c r="J40" s="338"/>
      <c r="K40" s="338"/>
      <c r="L40" s="338"/>
      <c r="M40" s="338"/>
    </row>
    <row r="60" spans="2:17" ht="24" thickBot="1">
      <c r="B60" s="339" t="s">
        <v>354</v>
      </c>
      <c r="C60" s="339"/>
      <c r="D60" s="339"/>
    </row>
    <row r="61" spans="2:17" ht="30" customHeight="1">
      <c r="B61" s="309" t="s">
        <v>341</v>
      </c>
      <c r="C61" s="341" t="s">
        <v>355</v>
      </c>
      <c r="D61" s="341" t="s">
        <v>356</v>
      </c>
      <c r="E61" s="341" t="s">
        <v>357</v>
      </c>
      <c r="F61" s="341" t="s">
        <v>358</v>
      </c>
      <c r="G61" s="342" t="s">
        <v>359</v>
      </c>
      <c r="H61" s="341" t="s">
        <v>360</v>
      </c>
      <c r="I61" s="340" t="s">
        <v>361</v>
      </c>
      <c r="J61" s="673" t="s">
        <v>348</v>
      </c>
      <c r="K61" s="673"/>
      <c r="L61" s="673"/>
      <c r="M61" s="674"/>
      <c r="N61" s="464" t="s">
        <v>362</v>
      </c>
      <c r="O61" s="464" t="s">
        <v>69</v>
      </c>
      <c r="P61" s="465" t="s">
        <v>70</v>
      </c>
      <c r="Q61" s="465" t="s">
        <v>71</v>
      </c>
    </row>
    <row r="62" spans="2:17">
      <c r="B62" s="419" t="s">
        <v>25</v>
      </c>
      <c r="C62" s="466">
        <f t="shared" ref="C62:C66" si="2">C7</f>
        <v>3</v>
      </c>
      <c r="D62" s="467">
        <v>3</v>
      </c>
      <c r="E62" s="466"/>
      <c r="F62" s="467"/>
      <c r="G62" s="466"/>
      <c r="H62" s="467"/>
      <c r="I62" s="468">
        <f>IF(ISERROR((D62+F62+H62)/(C62+E62+G62)),"",(D62+F62+H62)/(C62+E62+G62))</f>
        <v>1</v>
      </c>
      <c r="J62" s="675"/>
      <c r="K62" s="675"/>
      <c r="L62" s="675"/>
      <c r="M62" s="676"/>
      <c r="N62" s="469"/>
      <c r="O62" s="469"/>
      <c r="P62" s="470">
        <v>1</v>
      </c>
      <c r="Q62" s="470">
        <v>1885128</v>
      </c>
    </row>
    <row r="63" spans="2:17">
      <c r="B63" s="419" t="s">
        <v>26</v>
      </c>
      <c r="C63" s="466">
        <f t="shared" si="2"/>
        <v>0</v>
      </c>
      <c r="D63" s="467">
        <v>0</v>
      </c>
      <c r="E63" s="466"/>
      <c r="F63" s="467"/>
      <c r="G63" s="466"/>
      <c r="H63" s="467"/>
      <c r="I63" s="468" t="str">
        <f t="shared" ref="I63:I67" si="3">IF(ISERROR((D63+F63+H63)/(C63+E63+G63)),"",(D63+F63+H63)/(C63+E63+G63))</f>
        <v/>
      </c>
      <c r="J63" s="675"/>
      <c r="K63" s="675"/>
      <c r="L63" s="675"/>
      <c r="M63" s="676"/>
      <c r="N63" s="469"/>
      <c r="O63" s="469"/>
      <c r="P63" s="470">
        <v>0</v>
      </c>
      <c r="Q63" s="470"/>
    </row>
    <row r="64" spans="2:17">
      <c r="B64" s="419" t="s">
        <v>23</v>
      </c>
      <c r="C64" s="466">
        <v>0</v>
      </c>
      <c r="D64" s="467"/>
      <c r="E64" s="466"/>
      <c r="F64" s="467"/>
      <c r="G64" s="466"/>
      <c r="H64" s="467"/>
      <c r="I64" s="468" t="str">
        <f t="shared" si="3"/>
        <v/>
      </c>
      <c r="J64" s="667"/>
      <c r="K64" s="667"/>
      <c r="L64" s="667"/>
      <c r="M64" s="668"/>
      <c r="N64" s="469"/>
      <c r="O64" s="469"/>
      <c r="P64" s="470">
        <v>0</v>
      </c>
      <c r="Q64" s="470"/>
    </row>
    <row r="65" spans="2:17">
      <c r="B65" s="419" t="s">
        <v>24</v>
      </c>
      <c r="C65" s="466">
        <v>0</v>
      </c>
      <c r="D65" s="467"/>
      <c r="E65" s="466"/>
      <c r="F65" s="467"/>
      <c r="G65" s="466"/>
      <c r="H65" s="467"/>
      <c r="I65" s="468" t="str">
        <f t="shared" si="3"/>
        <v/>
      </c>
      <c r="J65" s="667"/>
      <c r="K65" s="667"/>
      <c r="L65" s="667"/>
      <c r="M65" s="668"/>
      <c r="N65" s="469"/>
      <c r="O65" s="469"/>
      <c r="P65" s="470">
        <v>0</v>
      </c>
      <c r="Q65" s="470"/>
    </row>
    <row r="66" spans="2:17" ht="18.75" customHeight="1">
      <c r="B66" s="419" t="s">
        <v>27</v>
      </c>
      <c r="C66" s="466">
        <f t="shared" si="2"/>
        <v>0</v>
      </c>
      <c r="D66" s="467"/>
      <c r="E66" s="466"/>
      <c r="F66" s="467"/>
      <c r="G66" s="466"/>
      <c r="H66" s="467"/>
      <c r="I66" s="468" t="str">
        <f t="shared" si="3"/>
        <v/>
      </c>
      <c r="J66" s="666"/>
      <c r="K66" s="667"/>
      <c r="L66" s="667"/>
      <c r="M66" s="668"/>
      <c r="N66" s="469"/>
      <c r="O66" s="469"/>
      <c r="P66" s="470">
        <v>0</v>
      </c>
      <c r="Q66" s="470"/>
    </row>
    <row r="67" spans="2:17" ht="62.25" customHeight="1">
      <c r="B67" s="419" t="s">
        <v>350</v>
      </c>
      <c r="C67" s="466">
        <v>10</v>
      </c>
      <c r="D67" s="467">
        <v>5</v>
      </c>
      <c r="E67" s="466"/>
      <c r="F67" s="467"/>
      <c r="G67" s="466"/>
      <c r="H67" s="467"/>
      <c r="I67" s="468">
        <f t="shared" si="3"/>
        <v>0.5</v>
      </c>
      <c r="J67" s="666"/>
      <c r="K67" s="667"/>
      <c r="L67" s="667"/>
      <c r="M67" s="668"/>
      <c r="N67" s="469"/>
      <c r="O67" s="469"/>
      <c r="P67" s="470">
        <v>0</v>
      </c>
      <c r="Q67" s="471" t="s">
        <v>424</v>
      </c>
    </row>
    <row r="68" spans="2:17">
      <c r="B68" s="343"/>
    </row>
    <row r="69" spans="2:17">
      <c r="B69" s="343"/>
    </row>
    <row r="70" spans="2:17">
      <c r="B70" s="343"/>
    </row>
    <row r="71" spans="2:17">
      <c r="B71" s="343"/>
    </row>
    <row r="72" spans="2:17">
      <c r="B72" s="343"/>
    </row>
    <row r="73" spans="2:17">
      <c r="B73" s="343"/>
    </row>
    <row r="74" spans="2:17">
      <c r="B74" s="343"/>
    </row>
    <row r="75" spans="2:17">
      <c r="B75" s="343"/>
    </row>
    <row r="76" spans="2:17">
      <c r="B76" s="343"/>
    </row>
    <row r="77" spans="2:17">
      <c r="B77" s="343"/>
    </row>
    <row r="78" spans="2:17">
      <c r="B78" s="343"/>
    </row>
    <row r="79" spans="2:17">
      <c r="B79" s="343"/>
    </row>
    <row r="80" spans="2:17">
      <c r="B80" s="343"/>
    </row>
    <row r="81" spans="1:9">
      <c r="B81" s="343"/>
    </row>
    <row r="82" spans="1:9">
      <c r="B82" s="343"/>
    </row>
    <row r="83" spans="1:9">
      <c r="B83" s="343"/>
    </row>
    <row r="84" spans="1:9">
      <c r="B84" s="343"/>
    </row>
    <row r="85" spans="1:9">
      <c r="B85" s="343"/>
    </row>
    <row r="86" spans="1:9">
      <c r="B86" s="343"/>
    </row>
    <row r="87" spans="1:9">
      <c r="B87" s="343"/>
    </row>
    <row r="88" spans="1:9">
      <c r="B88" s="343"/>
    </row>
    <row r="89" spans="1:9" ht="23.4">
      <c r="B89" s="344" t="s">
        <v>363</v>
      </c>
    </row>
    <row r="90" spans="1:9">
      <c r="B90" s="343"/>
    </row>
    <row r="91" spans="1:9">
      <c r="B91" s="472" t="s">
        <v>364</v>
      </c>
    </row>
    <row r="92" spans="1:9">
      <c r="B92" s="472" t="s">
        <v>365</v>
      </c>
      <c r="C92" s="472" t="s">
        <v>366</v>
      </c>
      <c r="D92" s="472" t="s">
        <v>367</v>
      </c>
      <c r="E92" s="472" t="s">
        <v>368</v>
      </c>
      <c r="F92" s="472" t="s">
        <v>369</v>
      </c>
      <c r="G92" s="473"/>
      <c r="H92" s="473" t="s">
        <v>370</v>
      </c>
      <c r="I92" s="345"/>
    </row>
    <row r="93" spans="1:9">
      <c r="A93" s="346" t="s">
        <v>371</v>
      </c>
      <c r="B93" s="474" t="s">
        <v>425</v>
      </c>
      <c r="C93" s="475" t="s">
        <v>426</v>
      </c>
      <c r="D93" s="476" t="s">
        <v>427</v>
      </c>
      <c r="E93" s="477" t="s">
        <v>428</v>
      </c>
      <c r="F93" s="347"/>
      <c r="G93" s="291"/>
      <c r="H93" s="475"/>
    </row>
    <row r="94" spans="1:9">
      <c r="B94" s="474" t="s">
        <v>429</v>
      </c>
      <c r="C94" s="475" t="s">
        <v>426</v>
      </c>
      <c r="D94" s="476" t="s">
        <v>430</v>
      </c>
      <c r="E94" s="477" t="s">
        <v>431</v>
      </c>
      <c r="F94" s="478"/>
      <c r="G94" s="479"/>
      <c r="H94" s="475"/>
      <c r="I94" s="345"/>
    </row>
    <row r="95" spans="1:9">
      <c r="B95" s="474" t="s">
        <v>432</v>
      </c>
      <c r="C95" s="475" t="s">
        <v>426</v>
      </c>
      <c r="D95" s="477" t="s">
        <v>433</v>
      </c>
      <c r="E95" s="480" t="s">
        <v>434</v>
      </c>
      <c r="F95" s="287"/>
      <c r="G95" s="287"/>
      <c r="H95" s="475"/>
    </row>
    <row r="96" spans="1:9">
      <c r="B96" s="348"/>
      <c r="C96" s="475"/>
      <c r="D96" s="480"/>
      <c r="E96" s="480"/>
      <c r="F96" s="287"/>
      <c r="G96" s="287"/>
      <c r="H96" s="475"/>
    </row>
    <row r="97" spans="1:9">
      <c r="B97" s="474"/>
      <c r="C97" s="475"/>
      <c r="D97" s="480"/>
      <c r="E97" s="480"/>
      <c r="F97" s="287"/>
      <c r="G97" s="287"/>
      <c r="H97" s="481"/>
    </row>
    <row r="98" spans="1:9">
      <c r="B98" s="474"/>
      <c r="C98" s="475"/>
      <c r="D98" s="480"/>
      <c r="E98" s="480"/>
      <c r="F98" s="287"/>
      <c r="G98" s="287"/>
      <c r="H98" s="475"/>
      <c r="I98" s="345"/>
    </row>
    <row r="99" spans="1:9">
      <c r="A99" s="349" t="s">
        <v>372</v>
      </c>
      <c r="B99" s="482"/>
      <c r="C99" s="350"/>
      <c r="D99" s="483"/>
      <c r="E99" s="483"/>
      <c r="F99" s="479"/>
      <c r="G99" s="287"/>
      <c r="H99" s="287"/>
    </row>
    <row r="100" spans="1:9">
      <c r="A100" s="110"/>
      <c r="B100" s="482"/>
      <c r="C100" s="350"/>
      <c r="D100" s="484"/>
      <c r="E100" s="484"/>
      <c r="F100" s="479"/>
      <c r="G100" s="287"/>
      <c r="H100" s="287"/>
    </row>
    <row r="101" spans="1:9">
      <c r="A101" s="110"/>
      <c r="B101" s="482"/>
      <c r="C101" s="350"/>
      <c r="D101" s="484"/>
      <c r="E101" s="484"/>
      <c r="F101" s="479"/>
      <c r="G101" s="287"/>
      <c r="H101" s="287"/>
    </row>
    <row r="102" spans="1:9">
      <c r="B102" s="482"/>
      <c r="C102" s="350"/>
      <c r="D102" s="485"/>
      <c r="E102" s="485"/>
      <c r="F102" s="479"/>
      <c r="G102" s="287"/>
      <c r="H102" s="287"/>
    </row>
    <row r="103" spans="1:9">
      <c r="B103" s="482"/>
      <c r="C103" s="350"/>
      <c r="D103" s="485"/>
      <c r="E103" s="351"/>
      <c r="F103" s="479"/>
      <c r="G103" s="287"/>
      <c r="H103" s="287"/>
    </row>
    <row r="104" spans="1:9">
      <c r="B104" s="473"/>
      <c r="C104" s="352"/>
      <c r="D104" s="486"/>
      <c r="E104" s="486"/>
      <c r="F104" s="479"/>
      <c r="G104" s="287"/>
      <c r="H104" s="287"/>
    </row>
    <row r="105" spans="1:9" ht="23.4">
      <c r="B105" s="353"/>
      <c r="C105" s="353"/>
    </row>
    <row r="106" spans="1:9" ht="23.4">
      <c r="B106" s="354"/>
      <c r="C106" s="354"/>
    </row>
    <row r="107" spans="1:9" s="112" customFormat="1" ht="28.8">
      <c r="B107" s="487" t="s">
        <v>373</v>
      </c>
      <c r="C107" s="487" t="s">
        <v>374</v>
      </c>
      <c r="D107" s="487" t="s">
        <v>375</v>
      </c>
      <c r="E107" s="487" t="s">
        <v>376</v>
      </c>
      <c r="F107" s="487" t="s">
        <v>377</v>
      </c>
      <c r="G107" s="487" t="s">
        <v>378</v>
      </c>
      <c r="H107" s="464" t="s">
        <v>379</v>
      </c>
    </row>
    <row r="108" spans="1:9">
      <c r="B108" s="291" t="s">
        <v>380</v>
      </c>
      <c r="C108" s="290">
        <v>6</v>
      </c>
      <c r="D108" s="420">
        <v>4</v>
      </c>
      <c r="F108" s="420"/>
      <c r="G108" s="320">
        <f>IF(ISERROR(D108/C108),"",D108/C108)</f>
        <v>0.66666666666666663</v>
      </c>
      <c r="H108" s="459"/>
      <c r="I108" s="23"/>
    </row>
    <row r="109" spans="1:9">
      <c r="B109" s="291" t="s">
        <v>381</v>
      </c>
      <c r="C109" s="427">
        <v>6</v>
      </c>
      <c r="D109" s="427">
        <v>6</v>
      </c>
      <c r="E109" s="420"/>
      <c r="F109" s="420"/>
      <c r="G109" s="320">
        <f t="shared" ref="G109:G115" si="4">IF(ISERROR(D109/C109),"",D109/C109)</f>
        <v>1</v>
      </c>
      <c r="H109" s="488"/>
    </row>
    <row r="110" spans="1:9">
      <c r="B110" s="291" t="s">
        <v>382</v>
      </c>
      <c r="C110" s="427">
        <v>5</v>
      </c>
      <c r="D110" s="420">
        <v>5</v>
      </c>
      <c r="E110" s="420"/>
      <c r="F110" s="420"/>
      <c r="G110" s="320">
        <f t="shared" si="4"/>
        <v>1</v>
      </c>
      <c r="H110" s="489"/>
    </row>
    <row r="111" spans="1:9">
      <c r="B111" s="291" t="s">
        <v>383</v>
      </c>
      <c r="C111" s="427">
        <v>1</v>
      </c>
      <c r="D111" s="420">
        <v>1</v>
      </c>
      <c r="E111" s="420"/>
      <c r="F111" s="420"/>
      <c r="G111" s="320">
        <f t="shared" si="4"/>
        <v>1</v>
      </c>
      <c r="H111" s="489"/>
    </row>
    <row r="112" spans="1:9">
      <c r="B112" s="490" t="s">
        <v>384</v>
      </c>
      <c r="C112" s="427">
        <v>4</v>
      </c>
      <c r="D112" s="427">
        <v>4</v>
      </c>
      <c r="E112" s="420"/>
      <c r="F112" s="420"/>
      <c r="G112" s="320">
        <f t="shared" si="4"/>
        <v>1</v>
      </c>
      <c r="H112" s="489"/>
      <c r="I112" s="291"/>
    </row>
    <row r="113" spans="2:8">
      <c r="B113" s="491" t="s">
        <v>385</v>
      </c>
      <c r="C113" s="427">
        <v>7</v>
      </c>
      <c r="D113" s="427">
        <v>7</v>
      </c>
      <c r="E113" s="420"/>
      <c r="F113" s="420"/>
      <c r="G113" s="320">
        <f t="shared" si="4"/>
        <v>1</v>
      </c>
      <c r="H113" s="489"/>
    </row>
    <row r="114" spans="2:8">
      <c r="B114" s="492" t="s">
        <v>386</v>
      </c>
      <c r="C114" s="427">
        <v>1</v>
      </c>
      <c r="D114" s="427">
        <v>1</v>
      </c>
      <c r="E114" s="420"/>
      <c r="F114" s="420"/>
      <c r="G114" s="320">
        <f t="shared" si="4"/>
        <v>1</v>
      </c>
      <c r="H114" s="489"/>
    </row>
    <row r="115" spans="2:8">
      <c r="B115" s="291" t="s">
        <v>387</v>
      </c>
      <c r="C115" s="420">
        <v>1</v>
      </c>
      <c r="D115" s="420">
        <v>1</v>
      </c>
      <c r="E115" s="420"/>
      <c r="F115" s="420"/>
      <c r="G115" s="493">
        <f t="shared" si="4"/>
        <v>1</v>
      </c>
      <c r="H115" s="489"/>
    </row>
    <row r="116" spans="2:8">
      <c r="B116" s="343"/>
    </row>
    <row r="117" spans="2:8">
      <c r="B117" s="343"/>
    </row>
    <row r="118" spans="2:8">
      <c r="B118" s="343"/>
    </row>
    <row r="119" spans="2:8">
      <c r="B119" s="343"/>
    </row>
    <row r="120" spans="2:8">
      <c r="B120" s="343"/>
    </row>
    <row r="121" spans="2:8">
      <c r="B121" s="343"/>
    </row>
    <row r="122" spans="2:8">
      <c r="B122" s="343"/>
    </row>
    <row r="123" spans="2:8">
      <c r="B123" s="343"/>
    </row>
    <row r="124" spans="2:8">
      <c r="B124" s="343"/>
    </row>
    <row r="125" spans="2:8">
      <c r="B125" s="343"/>
    </row>
    <row r="126" spans="2:8">
      <c r="B126" s="343"/>
    </row>
    <row r="127" spans="2:8">
      <c r="B127" s="343"/>
    </row>
    <row r="128" spans="2:8">
      <c r="B128" s="343"/>
    </row>
    <row r="129" spans="2:13">
      <c r="B129" s="343"/>
    </row>
    <row r="130" spans="2:13">
      <c r="B130" s="343"/>
    </row>
    <row r="131" spans="2:13">
      <c r="B131" s="343"/>
    </row>
    <row r="132" spans="2:13">
      <c r="B132" s="343"/>
    </row>
    <row r="133" spans="2:13">
      <c r="B133" s="343"/>
    </row>
    <row r="134" spans="2:13">
      <c r="B134" s="343"/>
    </row>
    <row r="135" spans="2:13">
      <c r="B135" s="343"/>
    </row>
    <row r="136" spans="2:13">
      <c r="B136" s="343"/>
    </row>
    <row r="137" spans="2:13">
      <c r="B137" s="343"/>
    </row>
    <row r="138" spans="2:13">
      <c r="B138" s="343"/>
    </row>
    <row r="139" spans="2:13">
      <c r="B139" s="343"/>
    </row>
    <row r="140" spans="2:13" ht="15" thickBot="1">
      <c r="B140" s="343"/>
    </row>
    <row r="141" spans="2:13" s="112" customFormat="1" ht="30" customHeight="1">
      <c r="B141" s="355" t="s">
        <v>388</v>
      </c>
      <c r="C141" s="356" t="s">
        <v>389</v>
      </c>
      <c r="D141" s="356" t="s">
        <v>390</v>
      </c>
      <c r="E141" s="669" t="s">
        <v>391</v>
      </c>
      <c r="F141" s="670"/>
      <c r="G141" s="671"/>
      <c r="H141" s="669" t="s">
        <v>392</v>
      </c>
      <c r="I141" s="670"/>
      <c r="J141" s="671"/>
      <c r="K141" s="357"/>
      <c r="L141" s="356" t="s">
        <v>393</v>
      </c>
      <c r="M141" s="358" t="s">
        <v>394</v>
      </c>
    </row>
    <row r="142" spans="2:13" ht="15" customHeight="1">
      <c r="B142" s="474" t="s">
        <v>435</v>
      </c>
      <c r="C142" s="474" t="s">
        <v>315</v>
      </c>
      <c r="D142" s="474" t="s">
        <v>397</v>
      </c>
      <c r="E142" s="664" t="s">
        <v>436</v>
      </c>
      <c r="F142" s="664"/>
      <c r="G142" s="664"/>
      <c r="H142" s="664" t="s">
        <v>396</v>
      </c>
      <c r="I142" s="664"/>
      <c r="J142" s="664"/>
      <c r="K142" s="494"/>
      <c r="L142" s="495"/>
      <c r="M142" s="496"/>
    </row>
    <row r="143" spans="2:13" ht="15" customHeight="1">
      <c r="B143" s="474" t="s">
        <v>437</v>
      </c>
      <c r="C143" s="474" t="s">
        <v>315</v>
      </c>
      <c r="D143" s="474" t="s">
        <v>397</v>
      </c>
      <c r="E143" s="664" t="s">
        <v>436</v>
      </c>
      <c r="F143" s="664"/>
      <c r="G143" s="664"/>
      <c r="H143" s="664" t="s">
        <v>396</v>
      </c>
      <c r="I143" s="664"/>
      <c r="J143" s="664"/>
      <c r="K143" s="494"/>
      <c r="L143" s="495">
        <v>1883353</v>
      </c>
      <c r="M143" s="496"/>
    </row>
    <row r="144" spans="2:13" ht="15" customHeight="1">
      <c r="B144" s="474" t="s">
        <v>438</v>
      </c>
      <c r="C144" s="474" t="s">
        <v>316</v>
      </c>
      <c r="D144" s="474" t="s">
        <v>397</v>
      </c>
      <c r="E144" s="664" t="s">
        <v>436</v>
      </c>
      <c r="F144" s="664"/>
      <c r="G144" s="664"/>
      <c r="H144" s="664" t="s">
        <v>396</v>
      </c>
      <c r="I144" s="664"/>
      <c r="J144" s="664"/>
      <c r="K144" s="494"/>
      <c r="L144" s="495"/>
      <c r="M144" s="496"/>
    </row>
    <row r="145" spans="2:13" ht="15.75" customHeight="1">
      <c r="B145" s="474" t="s">
        <v>439</v>
      </c>
      <c r="C145" s="497" t="s">
        <v>440</v>
      </c>
      <c r="D145" s="497" t="s">
        <v>397</v>
      </c>
      <c r="E145" s="664" t="s">
        <v>436</v>
      </c>
      <c r="F145" s="664"/>
      <c r="G145" s="664"/>
      <c r="H145" s="664" t="s">
        <v>396</v>
      </c>
      <c r="I145" s="664"/>
      <c r="J145" s="664"/>
      <c r="K145" s="494"/>
      <c r="L145" s="498"/>
      <c r="M145" s="499"/>
    </row>
    <row r="146" spans="2:13" ht="15.75" customHeight="1">
      <c r="B146" s="500"/>
      <c r="C146" s="359"/>
      <c r="D146" s="474"/>
      <c r="E146" s="664"/>
      <c r="F146" s="664"/>
      <c r="G146" s="664"/>
      <c r="H146" s="664"/>
      <c r="I146" s="664"/>
      <c r="J146" s="664"/>
      <c r="K146" s="494"/>
      <c r="L146" s="501"/>
      <c r="M146" s="360"/>
    </row>
    <row r="147" spans="2:13" ht="15.75" customHeight="1">
      <c r="B147" s="502" t="s">
        <v>441</v>
      </c>
      <c r="C147" s="474" t="s">
        <v>314</v>
      </c>
      <c r="D147" s="474" t="s">
        <v>395</v>
      </c>
      <c r="E147" s="664" t="s">
        <v>442</v>
      </c>
      <c r="F147" s="664"/>
      <c r="G147" s="664"/>
      <c r="H147" s="664" t="s">
        <v>396</v>
      </c>
      <c r="I147" s="664"/>
      <c r="J147" s="664"/>
      <c r="K147" s="494"/>
      <c r="L147" s="503">
        <v>1869874</v>
      </c>
      <c r="M147" s="360"/>
    </row>
    <row r="148" spans="2:13" ht="16.5" customHeight="1">
      <c r="B148" s="361" t="s">
        <v>443</v>
      </c>
      <c r="C148" s="362" t="s">
        <v>314</v>
      </c>
      <c r="D148" s="474" t="s">
        <v>395</v>
      </c>
      <c r="E148" s="664" t="s">
        <v>442</v>
      </c>
      <c r="F148" s="664"/>
      <c r="G148" s="664"/>
      <c r="H148" s="664" t="s">
        <v>396</v>
      </c>
      <c r="I148" s="664"/>
      <c r="J148" s="664"/>
      <c r="K148" s="363"/>
      <c r="L148" s="364">
        <v>1871824</v>
      </c>
      <c r="M148" s="365"/>
    </row>
    <row r="149" spans="2:13" ht="15.6">
      <c r="B149" s="504" t="s">
        <v>444</v>
      </c>
      <c r="C149" s="505" t="s">
        <v>315</v>
      </c>
      <c r="D149" s="474" t="s">
        <v>395</v>
      </c>
      <c r="E149" s="664" t="s">
        <v>442</v>
      </c>
      <c r="F149" s="664"/>
      <c r="G149" s="664"/>
      <c r="H149" s="664" t="s">
        <v>396</v>
      </c>
      <c r="I149" s="664"/>
      <c r="J149" s="664"/>
      <c r="K149" s="494"/>
      <c r="L149" s="506">
        <v>1872281</v>
      </c>
      <c r="M149" s="507"/>
    </row>
    <row r="150" spans="2:13" ht="15.6">
      <c r="B150" s="366" t="s">
        <v>445</v>
      </c>
      <c r="C150" s="505" t="s">
        <v>315</v>
      </c>
      <c r="D150" s="367" t="s">
        <v>395</v>
      </c>
      <c r="E150" s="664" t="s">
        <v>446</v>
      </c>
      <c r="F150" s="664"/>
      <c r="G150" s="664"/>
      <c r="H150" s="664" t="s">
        <v>447</v>
      </c>
      <c r="I150" s="664"/>
      <c r="J150" s="664"/>
      <c r="K150" s="494"/>
      <c r="L150" s="368">
        <v>1872543</v>
      </c>
      <c r="M150" s="507"/>
    </row>
    <row r="151" spans="2:13" ht="15.6">
      <c r="B151" s="366" t="s">
        <v>448</v>
      </c>
      <c r="C151" s="505" t="s">
        <v>316</v>
      </c>
      <c r="D151" s="367" t="s">
        <v>395</v>
      </c>
      <c r="E151" s="664" t="s">
        <v>442</v>
      </c>
      <c r="F151" s="664"/>
      <c r="G151" s="664"/>
      <c r="H151" s="664" t="s">
        <v>396</v>
      </c>
      <c r="I151" s="664"/>
      <c r="J151" s="664"/>
      <c r="K151" s="494"/>
      <c r="L151" s="506">
        <v>1872550</v>
      </c>
      <c r="M151" s="507"/>
    </row>
    <row r="152" spans="2:13" s="113" customFormat="1" ht="18">
      <c r="B152" s="508" t="s">
        <v>449</v>
      </c>
      <c r="C152" s="509" t="s">
        <v>440</v>
      </c>
      <c r="D152" s="367" t="s">
        <v>395</v>
      </c>
      <c r="E152" s="664" t="s">
        <v>442</v>
      </c>
      <c r="F152" s="664"/>
      <c r="G152" s="664"/>
      <c r="H152" s="664" t="s">
        <v>450</v>
      </c>
      <c r="I152" s="664"/>
      <c r="J152" s="664"/>
      <c r="K152" s="494"/>
      <c r="L152" s="510">
        <v>1869995</v>
      </c>
      <c r="M152" s="360"/>
    </row>
    <row r="153" spans="2:13" s="113" customFormat="1" ht="18">
      <c r="B153" s="369" t="s">
        <v>451</v>
      </c>
      <c r="C153" s="511" t="s">
        <v>315</v>
      </c>
      <c r="D153" s="512" t="s">
        <v>395</v>
      </c>
      <c r="E153" s="664" t="s">
        <v>442</v>
      </c>
      <c r="F153" s="664"/>
      <c r="G153" s="664"/>
      <c r="H153" s="664" t="s">
        <v>396</v>
      </c>
      <c r="I153" s="664"/>
      <c r="J153" s="664"/>
      <c r="K153" s="494"/>
      <c r="L153" s="370">
        <v>1872281</v>
      </c>
      <c r="M153" s="499"/>
    </row>
    <row r="154" spans="2:13" ht="15" customHeight="1">
      <c r="B154" s="369"/>
      <c r="C154" s="512"/>
      <c r="D154" s="512"/>
      <c r="E154" s="664"/>
      <c r="F154" s="664"/>
      <c r="G154" s="664"/>
      <c r="H154" s="664"/>
      <c r="I154" s="664"/>
      <c r="J154" s="664"/>
      <c r="K154" s="513"/>
      <c r="L154" s="370"/>
      <c r="M154" s="514"/>
    </row>
    <row r="155" spans="2:13" ht="15.6">
      <c r="B155" s="369" t="s">
        <v>417</v>
      </c>
      <c r="C155" s="512" t="s">
        <v>312</v>
      </c>
      <c r="D155" s="512" t="s">
        <v>452</v>
      </c>
      <c r="E155" s="664" t="s">
        <v>436</v>
      </c>
      <c r="F155" s="664"/>
      <c r="G155" s="664"/>
      <c r="H155" s="664" t="s">
        <v>436</v>
      </c>
      <c r="I155" s="664"/>
      <c r="J155" s="664"/>
      <c r="K155" s="494"/>
      <c r="L155" s="370">
        <v>1871785</v>
      </c>
      <c r="M155" s="507"/>
    </row>
    <row r="156" spans="2:13" ht="15.6">
      <c r="B156" s="369" t="s">
        <v>437</v>
      </c>
      <c r="C156" s="512" t="s">
        <v>314</v>
      </c>
      <c r="D156" s="512" t="s">
        <v>452</v>
      </c>
      <c r="E156" s="664" t="s">
        <v>436</v>
      </c>
      <c r="F156" s="664"/>
      <c r="G156" s="664"/>
      <c r="H156" s="664" t="s">
        <v>436</v>
      </c>
      <c r="I156" s="664"/>
      <c r="J156" s="664"/>
      <c r="K156" s="494"/>
      <c r="L156" s="370">
        <v>1873114</v>
      </c>
      <c r="M156" s="507"/>
    </row>
    <row r="157" spans="2:13" ht="19.5" customHeight="1">
      <c r="B157" s="369" t="s">
        <v>435</v>
      </c>
      <c r="C157" s="512" t="s">
        <v>315</v>
      </c>
      <c r="D157" s="512" t="s">
        <v>452</v>
      </c>
      <c r="E157" s="664" t="s">
        <v>453</v>
      </c>
      <c r="F157" s="664"/>
      <c r="G157" s="664"/>
      <c r="H157" s="664" t="s">
        <v>454</v>
      </c>
      <c r="I157" s="664"/>
      <c r="J157" s="664"/>
      <c r="K157" s="494"/>
      <c r="L157" s="370">
        <v>1873180</v>
      </c>
      <c r="M157" s="507"/>
    </row>
    <row r="158" spans="2:13" ht="19.5" customHeight="1">
      <c r="B158" s="515" t="s">
        <v>455</v>
      </c>
      <c r="C158" s="512" t="s">
        <v>316</v>
      </c>
      <c r="D158" s="512" t="s">
        <v>452</v>
      </c>
      <c r="E158" s="664" t="s">
        <v>436</v>
      </c>
      <c r="F158" s="664"/>
      <c r="G158" s="664"/>
      <c r="H158" s="664" t="s">
        <v>436</v>
      </c>
      <c r="I158" s="664"/>
      <c r="J158" s="664"/>
      <c r="K158" s="494"/>
      <c r="L158" s="506">
        <v>1872503</v>
      </c>
      <c r="M158" s="507"/>
    </row>
    <row r="159" spans="2:13" ht="19.5" customHeight="1">
      <c r="B159" s="482" t="s">
        <v>439</v>
      </c>
      <c r="C159" s="474" t="s">
        <v>440</v>
      </c>
      <c r="D159" s="512" t="s">
        <v>456</v>
      </c>
      <c r="E159" s="664" t="s">
        <v>436</v>
      </c>
      <c r="F159" s="664"/>
      <c r="G159" s="664"/>
      <c r="H159" s="664" t="s">
        <v>436</v>
      </c>
      <c r="I159" s="664"/>
      <c r="J159" s="664"/>
      <c r="K159" s="494"/>
      <c r="L159" s="506">
        <v>1871704</v>
      </c>
      <c r="M159" s="507"/>
    </row>
    <row r="160" spans="2:13" ht="19.5" customHeight="1">
      <c r="B160" s="482"/>
      <c r="C160" s="474"/>
      <c r="D160" s="512"/>
      <c r="E160" s="664"/>
      <c r="F160" s="664"/>
      <c r="G160" s="664"/>
      <c r="H160" s="664"/>
      <c r="I160" s="664"/>
      <c r="J160" s="664"/>
      <c r="K160" s="494"/>
      <c r="L160" s="506"/>
      <c r="M160" s="507"/>
    </row>
    <row r="161" spans="2:13" ht="24" customHeight="1">
      <c r="B161" s="494" t="s">
        <v>457</v>
      </c>
      <c r="C161" s="474" t="s">
        <v>314</v>
      </c>
      <c r="D161" s="512" t="s">
        <v>458</v>
      </c>
      <c r="E161" s="664" t="s">
        <v>459</v>
      </c>
      <c r="F161" s="664"/>
      <c r="G161" s="664"/>
      <c r="H161" s="664" t="s">
        <v>460</v>
      </c>
      <c r="I161" s="664"/>
      <c r="J161" s="664"/>
      <c r="K161" s="494"/>
      <c r="L161" s="516">
        <v>1872245</v>
      </c>
      <c r="M161" s="507"/>
    </row>
    <row r="162" spans="2:13" ht="19.5" customHeight="1">
      <c r="B162" s="482" t="s">
        <v>461</v>
      </c>
      <c r="C162" s="512" t="s">
        <v>440</v>
      </c>
      <c r="D162" s="512" t="s">
        <v>462</v>
      </c>
      <c r="E162" s="664" t="s">
        <v>463</v>
      </c>
      <c r="F162" s="664"/>
      <c r="G162" s="664"/>
      <c r="H162" s="664" t="s">
        <v>464</v>
      </c>
      <c r="I162" s="664"/>
      <c r="J162" s="664"/>
      <c r="K162" s="494"/>
      <c r="L162" s="494">
        <v>1877860</v>
      </c>
      <c r="M162" s="507"/>
    </row>
    <row r="163" spans="2:13" ht="15.6">
      <c r="B163" s="474" t="s">
        <v>465</v>
      </c>
      <c r="C163" s="512" t="s">
        <v>316</v>
      </c>
      <c r="D163" s="512" t="s">
        <v>466</v>
      </c>
      <c r="E163" s="664" t="s">
        <v>436</v>
      </c>
      <c r="F163" s="664"/>
      <c r="G163" s="664"/>
      <c r="H163" s="664" t="s">
        <v>436</v>
      </c>
      <c r="I163" s="664"/>
      <c r="J163" s="664"/>
      <c r="K163" s="494"/>
      <c r="L163" s="494">
        <v>1881241</v>
      </c>
      <c r="M163" s="507"/>
    </row>
    <row r="164" spans="2:13" ht="15.6">
      <c r="B164" s="517" t="s">
        <v>467</v>
      </c>
      <c r="C164" s="512" t="s">
        <v>315</v>
      </c>
      <c r="D164" s="512" t="s">
        <v>468</v>
      </c>
      <c r="E164" s="664" t="s">
        <v>436</v>
      </c>
      <c r="F164" s="664"/>
      <c r="G164" s="664"/>
      <c r="H164" s="664" t="s">
        <v>436</v>
      </c>
      <c r="I164" s="664"/>
      <c r="J164" s="664"/>
      <c r="K164" s="494"/>
      <c r="L164" s="516">
        <v>1881240</v>
      </c>
      <c r="M164" s="507"/>
    </row>
    <row r="165" spans="2:13" ht="15.6">
      <c r="B165" s="518"/>
      <c r="C165" s="519"/>
      <c r="D165" s="512"/>
      <c r="E165" s="664"/>
      <c r="F165" s="664"/>
      <c r="G165" s="664"/>
      <c r="H165" s="664"/>
      <c r="I165" s="664"/>
      <c r="J165" s="664"/>
      <c r="K165" s="494"/>
      <c r="L165" s="494"/>
      <c r="M165" s="371"/>
    </row>
    <row r="166" spans="2:13" ht="15.6">
      <c r="B166" s="474" t="s">
        <v>469</v>
      </c>
      <c r="C166" s="512" t="s">
        <v>311</v>
      </c>
      <c r="D166" s="520" t="s">
        <v>470</v>
      </c>
      <c r="E166" s="664" t="s">
        <v>436</v>
      </c>
      <c r="F166" s="664"/>
      <c r="G166" s="664"/>
      <c r="H166" s="664" t="s">
        <v>436</v>
      </c>
      <c r="I166" s="664"/>
      <c r="J166" s="664"/>
      <c r="K166" s="494"/>
      <c r="L166" s="512">
        <v>1880720</v>
      </c>
      <c r="M166" s="371"/>
    </row>
    <row r="167" spans="2:13" ht="15.6">
      <c r="B167" s="474" t="s">
        <v>471</v>
      </c>
      <c r="C167" s="512" t="s">
        <v>312</v>
      </c>
      <c r="D167" s="520" t="s">
        <v>470</v>
      </c>
      <c r="E167" s="664" t="s">
        <v>436</v>
      </c>
      <c r="F167" s="664"/>
      <c r="G167" s="664"/>
      <c r="H167" s="664" t="s">
        <v>436</v>
      </c>
      <c r="I167" s="664"/>
      <c r="J167" s="664"/>
      <c r="K167" s="494"/>
      <c r="L167" s="512">
        <v>1866880</v>
      </c>
      <c r="M167" s="371"/>
    </row>
    <row r="168" spans="2:13" ht="15.6">
      <c r="B168" s="474" t="s">
        <v>472</v>
      </c>
      <c r="C168" s="512" t="s">
        <v>313</v>
      </c>
      <c r="D168" s="520" t="s">
        <v>470</v>
      </c>
      <c r="E168" s="664" t="s">
        <v>436</v>
      </c>
      <c r="F168" s="664"/>
      <c r="G168" s="664"/>
      <c r="H168" s="664" t="s">
        <v>436</v>
      </c>
      <c r="I168" s="664"/>
      <c r="J168" s="664"/>
      <c r="K168" s="494"/>
      <c r="L168" s="512">
        <v>1841733</v>
      </c>
      <c r="M168" s="371"/>
    </row>
    <row r="169" spans="2:13" ht="15.6">
      <c r="B169" s="420" t="s">
        <v>473</v>
      </c>
      <c r="C169" s="512" t="s">
        <v>314</v>
      </c>
      <c r="D169" s="520" t="s">
        <v>470</v>
      </c>
      <c r="E169" s="664" t="s">
        <v>436</v>
      </c>
      <c r="F169" s="664"/>
      <c r="G169" s="664"/>
      <c r="H169" s="664" t="s">
        <v>436</v>
      </c>
      <c r="I169" s="664"/>
      <c r="J169" s="664"/>
      <c r="K169" s="494"/>
      <c r="L169" s="512">
        <v>1872242</v>
      </c>
      <c r="M169" s="371"/>
    </row>
    <row r="170" spans="2:13" ht="15.6">
      <c r="B170" s="420" t="s">
        <v>474</v>
      </c>
      <c r="C170" s="512" t="s">
        <v>314</v>
      </c>
      <c r="D170" s="520" t="s">
        <v>470</v>
      </c>
      <c r="E170" s="664" t="s">
        <v>436</v>
      </c>
      <c r="F170" s="664"/>
      <c r="G170" s="664"/>
      <c r="H170" s="664" t="s">
        <v>436</v>
      </c>
      <c r="I170" s="664"/>
      <c r="J170" s="664"/>
      <c r="K170" s="420"/>
      <c r="L170" s="521">
        <v>1856111</v>
      </c>
      <c r="M170" s="372"/>
    </row>
    <row r="171" spans="2:13" ht="15.6">
      <c r="B171" s="420" t="s">
        <v>418</v>
      </c>
      <c r="C171" s="512" t="s">
        <v>312</v>
      </c>
      <c r="D171" s="520" t="s">
        <v>470</v>
      </c>
      <c r="E171" s="664" t="s">
        <v>436</v>
      </c>
      <c r="F171" s="664"/>
      <c r="G171" s="664"/>
      <c r="H171" s="664" t="s">
        <v>436</v>
      </c>
      <c r="I171" s="664"/>
      <c r="J171" s="664"/>
      <c r="K171" s="420"/>
      <c r="L171" s="521">
        <v>1856109</v>
      </c>
      <c r="M171" s="372"/>
    </row>
    <row r="172" spans="2:13">
      <c r="B172" s="522"/>
      <c r="C172" s="420"/>
      <c r="D172" s="523"/>
      <c r="E172" s="664"/>
      <c r="F172" s="664"/>
      <c r="G172" s="664"/>
      <c r="H172" s="664"/>
      <c r="I172" s="664"/>
      <c r="J172" s="664"/>
      <c r="K172" s="420"/>
      <c r="L172" s="420"/>
      <c r="M172" s="372"/>
    </row>
    <row r="173" spans="2:13">
      <c r="B173" s="420"/>
      <c r="C173" s="420"/>
      <c r="D173" s="523"/>
      <c r="E173" s="664"/>
      <c r="F173" s="664"/>
      <c r="G173" s="664"/>
      <c r="H173" s="664"/>
      <c r="I173" s="664"/>
      <c r="J173" s="664"/>
      <c r="K173" s="420"/>
      <c r="L173" s="420"/>
      <c r="M173" s="372"/>
    </row>
    <row r="174" spans="2:13">
      <c r="B174" s="420"/>
      <c r="C174" s="420"/>
      <c r="D174" s="523"/>
      <c r="E174" s="664"/>
      <c r="F174" s="664"/>
      <c r="G174" s="664"/>
      <c r="H174" s="664"/>
      <c r="I174" s="664"/>
      <c r="J174" s="664"/>
      <c r="K174" s="420"/>
      <c r="L174" s="420"/>
      <c r="M174" s="352"/>
    </row>
    <row r="175" spans="2:13">
      <c r="B175" s="287"/>
      <c r="C175" s="287"/>
      <c r="D175" s="287"/>
      <c r="E175" s="665"/>
      <c r="F175" s="665"/>
      <c r="G175" s="665"/>
      <c r="H175" s="665"/>
      <c r="I175" s="665"/>
      <c r="J175" s="665"/>
      <c r="K175" s="287"/>
      <c r="L175" s="287"/>
      <c r="M175" s="352"/>
    </row>
    <row r="176" spans="2:13">
      <c r="B176" s="287"/>
      <c r="C176" s="287"/>
      <c r="D176" s="287"/>
      <c r="E176" s="665"/>
      <c r="F176" s="665"/>
      <c r="G176" s="665"/>
      <c r="H176" s="665"/>
      <c r="I176" s="665"/>
      <c r="J176" s="665"/>
      <c r="K176" s="287"/>
      <c r="L176" s="287"/>
      <c r="M176" s="352"/>
    </row>
    <row r="177" spans="2:13">
      <c r="B177" s="287"/>
      <c r="C177" s="287"/>
      <c r="D177" s="287"/>
      <c r="E177" s="665"/>
      <c r="F177" s="665"/>
      <c r="G177" s="665"/>
      <c r="H177" s="665"/>
      <c r="I177" s="665"/>
      <c r="J177" s="665"/>
      <c r="K177" s="287"/>
      <c r="L177" s="287"/>
      <c r="M177" s="352"/>
    </row>
    <row r="178" spans="2:13">
      <c r="B178" s="287"/>
      <c r="C178" s="287"/>
      <c r="D178" s="287"/>
      <c r="E178" s="661"/>
      <c r="F178" s="662"/>
      <c r="G178" s="663"/>
      <c r="H178" s="661"/>
      <c r="I178" s="662"/>
      <c r="J178" s="663"/>
      <c r="K178" s="287"/>
      <c r="L178" s="287"/>
      <c r="M178" s="287"/>
    </row>
    <row r="179" spans="2:13">
      <c r="B179" s="287"/>
      <c r="C179" s="287"/>
      <c r="D179" s="287"/>
      <c r="E179" s="661"/>
      <c r="F179" s="662"/>
      <c r="G179" s="663"/>
      <c r="H179" s="661"/>
      <c r="I179" s="662"/>
      <c r="J179" s="663"/>
      <c r="K179" s="287"/>
      <c r="L179" s="287"/>
      <c r="M179" s="287"/>
    </row>
    <row r="180" spans="2:13">
      <c r="B180" s="420"/>
      <c r="C180" s="420"/>
      <c r="D180" s="523"/>
      <c r="E180" s="664"/>
      <c r="F180" s="664"/>
      <c r="G180" s="664"/>
      <c r="H180" s="664"/>
      <c r="I180" s="664"/>
      <c r="J180" s="664"/>
      <c r="K180" s="420"/>
      <c r="L180" s="420"/>
      <c r="M180" s="420"/>
    </row>
    <row r="181" spans="2:13">
      <c r="B181" s="420"/>
      <c r="C181" s="420"/>
      <c r="D181" s="523"/>
      <c r="E181" s="664"/>
      <c r="F181" s="664"/>
      <c r="G181" s="664"/>
      <c r="H181" s="664"/>
      <c r="I181" s="664"/>
      <c r="J181" s="664"/>
      <c r="K181" s="420"/>
      <c r="L181" s="420"/>
      <c r="M181" s="420"/>
    </row>
    <row r="182" spans="2:13">
      <c r="B182" s="420"/>
      <c r="C182" s="420"/>
      <c r="D182" s="523"/>
      <c r="E182" s="664"/>
      <c r="F182" s="664"/>
      <c r="G182" s="664"/>
      <c r="H182" s="664"/>
      <c r="I182" s="664"/>
      <c r="J182" s="664"/>
      <c r="K182" s="420"/>
      <c r="L182" s="420"/>
      <c r="M182" s="420"/>
    </row>
    <row r="183" spans="2:13">
      <c r="B183" s="420"/>
      <c r="C183" s="420"/>
      <c r="D183" s="523"/>
      <c r="E183" s="664"/>
      <c r="F183" s="664"/>
      <c r="G183" s="664"/>
      <c r="H183" s="664"/>
      <c r="I183" s="664"/>
      <c r="J183" s="664"/>
      <c r="K183" s="420"/>
      <c r="L183" s="420"/>
      <c r="M183" s="420"/>
    </row>
    <row r="184" spans="2:13">
      <c r="B184" s="420"/>
      <c r="C184" s="420"/>
      <c r="D184" s="523"/>
      <c r="E184" s="664"/>
      <c r="F184" s="664"/>
      <c r="G184" s="664"/>
      <c r="H184" s="664"/>
      <c r="I184" s="664"/>
      <c r="J184" s="664"/>
      <c r="K184" s="420"/>
      <c r="L184" s="420"/>
      <c r="M184" s="287"/>
    </row>
    <row r="185" spans="2:13">
      <c r="B185" s="287"/>
      <c r="C185" s="287"/>
      <c r="D185" s="287"/>
      <c r="E185" s="661"/>
      <c r="F185" s="662"/>
      <c r="G185" s="663"/>
      <c r="H185" s="661"/>
      <c r="I185" s="662"/>
      <c r="J185" s="663"/>
      <c r="K185" s="287"/>
      <c r="L185" s="287"/>
      <c r="M185" s="287"/>
    </row>
    <row r="186" spans="2:13">
      <c r="B186" s="287"/>
      <c r="C186" s="287"/>
      <c r="D186" s="287"/>
      <c r="E186" s="661"/>
      <c r="F186" s="662"/>
      <c r="G186" s="663"/>
      <c r="H186" s="661"/>
      <c r="I186" s="662"/>
      <c r="J186" s="663"/>
      <c r="K186" s="287"/>
      <c r="L186" s="287"/>
      <c r="M186" s="287"/>
    </row>
    <row r="187" spans="2:13">
      <c r="B187" s="287"/>
      <c r="C187" s="287"/>
      <c r="D187" s="287"/>
      <c r="E187" s="661"/>
      <c r="F187" s="662"/>
      <c r="G187" s="663"/>
      <c r="H187" s="661"/>
      <c r="I187" s="662"/>
      <c r="J187" s="663"/>
      <c r="K187" s="287"/>
      <c r="L187" s="287"/>
      <c r="M187" s="287"/>
    </row>
    <row r="188" spans="2:13">
      <c r="B188" s="287"/>
      <c r="C188" s="287"/>
      <c r="D188" s="287"/>
      <c r="E188" s="661"/>
      <c r="F188" s="662"/>
      <c r="G188" s="663"/>
      <c r="H188" s="661"/>
      <c r="I188" s="662"/>
      <c r="J188" s="663"/>
      <c r="K188" s="287"/>
      <c r="L188" s="287"/>
      <c r="M188" s="287"/>
    </row>
    <row r="189" spans="2:13">
      <c r="B189" s="287"/>
      <c r="C189" s="287"/>
      <c r="D189" s="287"/>
      <c r="E189" s="661"/>
      <c r="F189" s="662"/>
      <c r="G189" s="663"/>
      <c r="H189" s="661"/>
      <c r="I189" s="662"/>
      <c r="J189" s="663"/>
      <c r="K189" s="287"/>
      <c r="L189" s="287"/>
      <c r="M189" s="287"/>
    </row>
    <row r="190" spans="2:13">
      <c r="B190" s="420"/>
      <c r="C190" s="420"/>
      <c r="D190" s="523"/>
      <c r="E190" s="664"/>
      <c r="F190" s="664"/>
      <c r="G190" s="664"/>
      <c r="H190" s="664"/>
      <c r="I190" s="664"/>
      <c r="J190" s="664"/>
      <c r="K190" s="420"/>
      <c r="L190" s="420"/>
      <c r="M190" s="420"/>
    </row>
    <row r="191" spans="2:13">
      <c r="B191" s="420"/>
      <c r="C191" s="420"/>
      <c r="D191" s="523"/>
      <c r="E191" s="664"/>
      <c r="F191" s="664"/>
      <c r="G191" s="664"/>
      <c r="H191" s="664"/>
      <c r="I191" s="664"/>
      <c r="J191" s="664"/>
      <c r="K191" s="420"/>
      <c r="L191" s="420"/>
      <c r="M191" s="420"/>
    </row>
    <row r="192" spans="2:13">
      <c r="B192" s="420"/>
      <c r="C192" s="420"/>
      <c r="D192" s="523"/>
      <c r="E192" s="664"/>
      <c r="F192" s="664"/>
      <c r="G192" s="664"/>
      <c r="H192" s="664"/>
      <c r="I192" s="664"/>
      <c r="J192" s="664"/>
      <c r="K192" s="420"/>
      <c r="L192" s="420"/>
      <c r="M192" s="420"/>
    </row>
    <row r="193" spans="2:13">
      <c r="B193" s="420"/>
      <c r="C193" s="420"/>
      <c r="D193" s="523"/>
      <c r="E193" s="664"/>
      <c r="F193" s="664"/>
      <c r="G193" s="664"/>
      <c r="H193" s="664"/>
      <c r="I193" s="664"/>
      <c r="J193" s="664"/>
      <c r="K193" s="420"/>
      <c r="L193" s="420"/>
      <c r="M193" s="420"/>
    </row>
    <row r="194" spans="2:13">
      <c r="B194" s="420"/>
      <c r="C194" s="420"/>
      <c r="D194" s="523"/>
      <c r="E194" s="664"/>
      <c r="F194" s="664"/>
      <c r="G194" s="664"/>
      <c r="H194" s="664"/>
      <c r="I194" s="664"/>
      <c r="J194" s="664"/>
      <c r="K194" s="420"/>
      <c r="L194" s="420"/>
      <c r="M194" s="287"/>
    </row>
    <row r="195" spans="2:13">
      <c r="B195" s="287"/>
      <c r="C195" s="287"/>
      <c r="D195" s="287"/>
      <c r="E195" s="661"/>
      <c r="F195" s="662"/>
      <c r="G195" s="663"/>
      <c r="H195" s="661"/>
      <c r="I195" s="662"/>
      <c r="J195" s="663"/>
      <c r="K195" s="287"/>
      <c r="L195" s="287"/>
      <c r="M195" s="287"/>
    </row>
    <row r="196" spans="2:13">
      <c r="B196" s="287"/>
      <c r="C196" s="287"/>
      <c r="D196" s="287"/>
      <c r="E196" s="661"/>
      <c r="F196" s="662"/>
      <c r="G196" s="663"/>
      <c r="H196" s="661"/>
      <c r="I196" s="662"/>
      <c r="J196" s="663"/>
      <c r="K196" s="287"/>
      <c r="L196" s="287"/>
      <c r="M196" s="287"/>
    </row>
    <row r="197" spans="2:13">
      <c r="B197" s="287"/>
      <c r="C197" s="287"/>
      <c r="D197" s="287"/>
      <c r="E197" s="661"/>
      <c r="F197" s="662"/>
      <c r="G197" s="663"/>
      <c r="H197" s="661"/>
      <c r="I197" s="662"/>
      <c r="J197" s="663"/>
      <c r="K197" s="287"/>
      <c r="L197" s="287"/>
      <c r="M197" s="287"/>
    </row>
  </sheetData>
  <mergeCells count="122">
    <mergeCell ref="J66:M66"/>
    <mergeCell ref="J67:M67"/>
    <mergeCell ref="E141:G141"/>
    <mergeCell ref="H141:J141"/>
    <mergeCell ref="E142:G142"/>
    <mergeCell ref="H142:J142"/>
    <mergeCell ref="B1:M1"/>
    <mergeCell ref="J61:M61"/>
    <mergeCell ref="J62:M62"/>
    <mergeCell ref="J63:M63"/>
    <mergeCell ref="J64:M64"/>
    <mergeCell ref="J65:M65"/>
    <mergeCell ref="E146:G146"/>
    <mergeCell ref="H146:J146"/>
    <mergeCell ref="E147:G147"/>
    <mergeCell ref="H147:J147"/>
    <mergeCell ref="E148:G148"/>
    <mergeCell ref="H148:J148"/>
    <mergeCell ref="E143:G143"/>
    <mergeCell ref="H143:J143"/>
    <mergeCell ref="E144:G144"/>
    <mergeCell ref="H144:J144"/>
    <mergeCell ref="E145:G145"/>
    <mergeCell ref="H145:J145"/>
    <mergeCell ref="E152:G152"/>
    <mergeCell ref="H152:J152"/>
    <mergeCell ref="E153:G153"/>
    <mergeCell ref="H153:J153"/>
    <mergeCell ref="E154:G154"/>
    <mergeCell ref="H154:J154"/>
    <mergeCell ref="E149:G149"/>
    <mergeCell ref="H149:J149"/>
    <mergeCell ref="E150:G150"/>
    <mergeCell ref="H150:J150"/>
    <mergeCell ref="E151:G151"/>
    <mergeCell ref="H151:J151"/>
    <mergeCell ref="E158:G158"/>
    <mergeCell ref="H158:J158"/>
    <mergeCell ref="E159:G159"/>
    <mergeCell ref="H159:J159"/>
    <mergeCell ref="E160:G160"/>
    <mergeCell ref="H160:J160"/>
    <mergeCell ref="E155:G155"/>
    <mergeCell ref="H155:J155"/>
    <mergeCell ref="E156:G156"/>
    <mergeCell ref="H156:J156"/>
    <mergeCell ref="E157:G157"/>
    <mergeCell ref="H157:J157"/>
    <mergeCell ref="E164:G164"/>
    <mergeCell ref="H164:J164"/>
    <mergeCell ref="E165:G165"/>
    <mergeCell ref="H165:J165"/>
    <mergeCell ref="E166:G166"/>
    <mergeCell ref="H166:J166"/>
    <mergeCell ref="E161:G161"/>
    <mergeCell ref="H161:J161"/>
    <mergeCell ref="E162:G162"/>
    <mergeCell ref="H162:J162"/>
    <mergeCell ref="E163:G163"/>
    <mergeCell ref="H163:J163"/>
    <mergeCell ref="E170:G170"/>
    <mergeCell ref="H170:J170"/>
    <mergeCell ref="E171:G171"/>
    <mergeCell ref="H171:J171"/>
    <mergeCell ref="E172:G172"/>
    <mergeCell ref="H172:J172"/>
    <mergeCell ref="E167:G167"/>
    <mergeCell ref="H167:J167"/>
    <mergeCell ref="E168:G168"/>
    <mergeCell ref="H168:J168"/>
    <mergeCell ref="E169:G169"/>
    <mergeCell ref="H169:J169"/>
    <mergeCell ref="E176:G176"/>
    <mergeCell ref="H176:J176"/>
    <mergeCell ref="E177:G177"/>
    <mergeCell ref="H177:J177"/>
    <mergeCell ref="E178:G178"/>
    <mergeCell ref="H178:J178"/>
    <mergeCell ref="E173:G173"/>
    <mergeCell ref="H173:J173"/>
    <mergeCell ref="E174:G174"/>
    <mergeCell ref="H174:J174"/>
    <mergeCell ref="E175:G175"/>
    <mergeCell ref="H175:J175"/>
    <mergeCell ref="E182:G182"/>
    <mergeCell ref="H182:J182"/>
    <mergeCell ref="E183:G183"/>
    <mergeCell ref="H183:J183"/>
    <mergeCell ref="E184:G184"/>
    <mergeCell ref="H184:J184"/>
    <mergeCell ref="E179:G179"/>
    <mergeCell ref="H179:J179"/>
    <mergeCell ref="E180:G180"/>
    <mergeCell ref="H180:J180"/>
    <mergeCell ref="E181:G181"/>
    <mergeCell ref="H181:J181"/>
    <mergeCell ref="E188:G188"/>
    <mergeCell ref="H188:J188"/>
    <mergeCell ref="E189:G189"/>
    <mergeCell ref="H189:J189"/>
    <mergeCell ref="E190:G190"/>
    <mergeCell ref="H190:J190"/>
    <mergeCell ref="E185:G185"/>
    <mergeCell ref="H185:J185"/>
    <mergeCell ref="E186:G186"/>
    <mergeCell ref="H186:J186"/>
    <mergeCell ref="E187:G187"/>
    <mergeCell ref="H187:J187"/>
    <mergeCell ref="E197:G197"/>
    <mergeCell ref="H197:J197"/>
    <mergeCell ref="E194:G194"/>
    <mergeCell ref="H194:J194"/>
    <mergeCell ref="E195:G195"/>
    <mergeCell ref="H195:J195"/>
    <mergeCell ref="E196:G196"/>
    <mergeCell ref="H196:J196"/>
    <mergeCell ref="E191:G191"/>
    <mergeCell ref="H191:J191"/>
    <mergeCell ref="E192:G192"/>
    <mergeCell ref="H192:J192"/>
    <mergeCell ref="E193:G193"/>
    <mergeCell ref="H193:J193"/>
  </mergeCells>
  <hyperlinks>
    <hyperlink ref="B147" r:id="rId1" display="N@ U/G Silo sytem"/>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Z42"/>
  <sheetViews>
    <sheetView topLeftCell="A13" workbookViewId="0">
      <selection activeCell="N36" sqref="N36:O36"/>
    </sheetView>
  </sheetViews>
  <sheetFormatPr defaultRowHeight="14.4"/>
  <cols>
    <col min="1" max="1" width="6.44140625" style="109" customWidth="1"/>
    <col min="2" max="2" width="7.88671875" style="109" customWidth="1"/>
    <col min="3" max="3" width="11.6640625" style="109" customWidth="1"/>
    <col min="4" max="7" width="7.88671875" style="109" customWidth="1"/>
    <col min="8" max="8" width="15.33203125" style="109" customWidth="1"/>
    <col min="9" max="9" width="16.88671875" style="109" customWidth="1"/>
    <col min="10" max="11" width="7.88671875" style="308" customWidth="1"/>
    <col min="12" max="12" width="10.5546875" style="308" customWidth="1"/>
    <col min="13" max="13" width="19.5546875" style="308" customWidth="1"/>
    <col min="14" max="15" width="7.88671875" style="308" customWidth="1"/>
    <col min="16" max="16" width="11.88671875" style="308" customWidth="1"/>
    <col min="17" max="18" width="7.88671875" style="308" customWidth="1"/>
    <col min="19" max="19" width="11.88671875" style="308" customWidth="1"/>
    <col min="20" max="21" width="7.88671875" style="308" customWidth="1"/>
    <col min="22" max="22" width="11.109375" style="109" customWidth="1"/>
    <col min="23" max="23" width="17" style="109" customWidth="1"/>
    <col min="24" max="24" width="42.109375" style="109" customWidth="1"/>
    <col min="25" max="25" width="13.33203125" style="109" customWidth="1"/>
    <col min="26" max="16384" width="8.88671875" style="109"/>
  </cols>
  <sheetData>
    <row r="1" spans="1:25" ht="47.4" thickTop="1" thickBot="1">
      <c r="B1" s="705" t="s">
        <v>398</v>
      </c>
      <c r="C1" s="706"/>
      <c r="D1" s="706"/>
      <c r="E1" s="706"/>
      <c r="F1" s="706"/>
      <c r="G1" s="706"/>
      <c r="H1" s="706"/>
      <c r="I1" s="706"/>
      <c r="J1" s="706"/>
      <c r="K1" s="706"/>
      <c r="L1" s="706"/>
      <c r="M1" s="706"/>
      <c r="N1" s="706"/>
      <c r="O1" s="706"/>
      <c r="P1" s="706"/>
      <c r="Q1" s="706"/>
      <c r="R1" s="706"/>
      <c r="S1" s="706"/>
      <c r="T1" s="706"/>
      <c r="U1" s="706"/>
      <c r="V1" s="706"/>
      <c r="W1" s="706"/>
    </row>
    <row r="2" spans="1:25" ht="29.4" thickTop="1">
      <c r="C2" s="304"/>
      <c r="D2" s="304"/>
      <c r="E2" s="304"/>
      <c r="F2" s="304"/>
      <c r="G2" s="304"/>
      <c r="H2" s="304"/>
      <c r="I2" s="304"/>
      <c r="J2" s="373"/>
      <c r="K2" s="373"/>
      <c r="L2" s="373"/>
      <c r="M2" s="373"/>
      <c r="N2" s="373"/>
      <c r="O2" s="373"/>
      <c r="P2" s="373"/>
      <c r="Q2" s="373"/>
      <c r="R2" s="373"/>
      <c r="S2" s="373"/>
      <c r="T2" s="373"/>
      <c r="U2" s="373"/>
      <c r="V2" s="304"/>
      <c r="W2" s="304"/>
    </row>
    <row r="3" spans="1:25" ht="21">
      <c r="B3" s="707" t="s">
        <v>338</v>
      </c>
      <c r="C3" s="707"/>
      <c r="D3" s="707"/>
      <c r="E3" s="708">
        <v>45974</v>
      </c>
      <c r="F3" s="708"/>
      <c r="G3" s="708"/>
      <c r="H3" s="708"/>
      <c r="I3" s="708"/>
      <c r="J3" s="708"/>
      <c r="K3" s="708"/>
      <c r="L3" s="374"/>
      <c r="M3" s="374"/>
      <c r="P3" s="709" t="s">
        <v>399</v>
      </c>
      <c r="Q3" s="709"/>
      <c r="R3" s="709"/>
      <c r="S3" s="709"/>
      <c r="T3" s="709"/>
      <c r="U3" s="709"/>
      <c r="V3" s="709"/>
      <c r="W3" s="709"/>
    </row>
    <row r="4" spans="1:25" ht="21.6" thickBot="1">
      <c r="B4" s="707" t="s">
        <v>339</v>
      </c>
      <c r="C4" s="707"/>
      <c r="D4" s="707"/>
      <c r="E4" s="710" t="s">
        <v>400</v>
      </c>
      <c r="F4" s="710"/>
      <c r="G4" s="710"/>
      <c r="H4" s="710"/>
      <c r="I4" s="710"/>
      <c r="J4" s="710"/>
      <c r="K4" s="710"/>
      <c r="L4" s="375"/>
      <c r="M4" s="375"/>
      <c r="P4" s="709"/>
      <c r="Q4" s="709"/>
      <c r="R4" s="709"/>
      <c r="S4" s="709"/>
      <c r="T4" s="709"/>
      <c r="U4" s="709"/>
      <c r="V4" s="709"/>
      <c r="W4" s="709"/>
    </row>
    <row r="5" spans="1:25" ht="15" thickBot="1"/>
    <row r="6" spans="1:25" ht="46.8" thickBot="1">
      <c r="B6" s="711" t="s">
        <v>401</v>
      </c>
      <c r="C6" s="712"/>
      <c r="D6" s="712"/>
      <c r="E6" s="712"/>
      <c r="F6" s="712"/>
      <c r="G6" s="713"/>
      <c r="H6" s="713"/>
      <c r="I6" s="713"/>
      <c r="J6" s="713"/>
      <c r="K6" s="713"/>
      <c r="L6" s="713"/>
      <c r="M6" s="713"/>
      <c r="N6" s="713"/>
      <c r="O6" s="713"/>
      <c r="P6" s="713"/>
      <c r="Q6" s="713"/>
      <c r="R6" s="713"/>
      <c r="S6" s="713"/>
      <c r="T6" s="713"/>
      <c r="U6" s="713"/>
      <c r="V6" s="713"/>
      <c r="W6" s="714"/>
    </row>
    <row r="7" spans="1:25" ht="47.4" thickTop="1" thickBot="1">
      <c r="B7" s="376"/>
      <c r="C7" s="377"/>
      <c r="D7" s="377"/>
      <c r="E7" s="377"/>
      <c r="F7" s="377"/>
      <c r="G7" s="715" t="s">
        <v>268</v>
      </c>
      <c r="H7" s="716"/>
      <c r="I7" s="716"/>
      <c r="J7" s="716"/>
      <c r="K7" s="716"/>
      <c r="L7" s="717"/>
      <c r="M7" s="718">
        <f>AVERAGE(M9:M21)</f>
        <v>0.51923076923076927</v>
      </c>
      <c r="N7" s="715" t="s">
        <v>402</v>
      </c>
      <c r="O7" s="716"/>
      <c r="P7" s="716"/>
      <c r="Q7" s="716"/>
      <c r="R7" s="716"/>
      <c r="S7" s="716"/>
      <c r="T7" s="716"/>
      <c r="U7" s="716"/>
      <c r="V7" s="716"/>
      <c r="W7" s="720">
        <f>AVERAGE(W9:W21)</f>
        <v>0.67307692307692313</v>
      </c>
    </row>
    <row r="8" spans="1:25" ht="94.8" thickTop="1" thickBot="1">
      <c r="B8" s="722" t="s">
        <v>403</v>
      </c>
      <c r="C8" s="723"/>
      <c r="D8" s="724"/>
      <c r="E8" s="725" t="s">
        <v>404</v>
      </c>
      <c r="F8" s="724"/>
      <c r="G8" s="726" t="s">
        <v>405</v>
      </c>
      <c r="H8" s="727"/>
      <c r="I8" s="378" t="s">
        <v>406</v>
      </c>
      <c r="J8" s="726" t="s">
        <v>407</v>
      </c>
      <c r="K8" s="728"/>
      <c r="L8" s="379" t="s">
        <v>408</v>
      </c>
      <c r="M8" s="719"/>
      <c r="N8" s="726" t="s">
        <v>409</v>
      </c>
      <c r="O8" s="727"/>
      <c r="P8" s="378" t="s">
        <v>410</v>
      </c>
      <c r="Q8" s="726" t="s">
        <v>411</v>
      </c>
      <c r="R8" s="727"/>
      <c r="S8" s="378" t="s">
        <v>412</v>
      </c>
      <c r="T8" s="729" t="s">
        <v>413</v>
      </c>
      <c r="U8" s="730"/>
      <c r="V8" s="380" t="s">
        <v>410</v>
      </c>
      <c r="W8" s="721"/>
      <c r="X8" s="381" t="s">
        <v>414</v>
      </c>
      <c r="Y8" s="382" t="s">
        <v>415</v>
      </c>
    </row>
    <row r="9" spans="1:25" s="31" customFormat="1" ht="21.75" customHeight="1" thickTop="1">
      <c r="A9" s="31">
        <v>1</v>
      </c>
      <c r="B9" s="684">
        <v>45968</v>
      </c>
      <c r="C9" s="685"/>
      <c r="D9" s="686"/>
      <c r="E9" s="687" t="s">
        <v>425</v>
      </c>
      <c r="F9" s="688"/>
      <c r="G9" s="689">
        <v>0.33333333333333331</v>
      </c>
      <c r="H9" s="690"/>
      <c r="I9" s="383">
        <v>0.25</v>
      </c>
      <c r="J9" s="697" t="s">
        <v>416</v>
      </c>
      <c r="K9" s="697"/>
      <c r="L9" s="384">
        <v>0.5</v>
      </c>
      <c r="M9" s="385">
        <f>I9+L9</f>
        <v>0.75</v>
      </c>
      <c r="N9" s="697" t="s">
        <v>416</v>
      </c>
      <c r="O9" s="697"/>
      <c r="P9" s="383">
        <v>0.25</v>
      </c>
      <c r="Q9" s="704" t="s">
        <v>475</v>
      </c>
      <c r="R9" s="688"/>
      <c r="S9" s="383">
        <v>0.5</v>
      </c>
      <c r="T9" s="697" t="s">
        <v>416</v>
      </c>
      <c r="U9" s="697"/>
      <c r="V9" s="383">
        <v>0.25</v>
      </c>
      <c r="W9" s="386">
        <f>P9+S9+V9</f>
        <v>1</v>
      </c>
      <c r="X9" s="387"/>
      <c r="Y9" s="507"/>
    </row>
    <row r="10" spans="1:25" s="31" customFormat="1" ht="21">
      <c r="A10" s="31">
        <v>2</v>
      </c>
      <c r="B10" s="678">
        <v>45968</v>
      </c>
      <c r="C10" s="679"/>
      <c r="D10" s="680"/>
      <c r="E10" s="681" t="s">
        <v>476</v>
      </c>
      <c r="F10" s="682"/>
      <c r="G10" s="695">
        <v>0.33333333333333331</v>
      </c>
      <c r="H10" s="696"/>
      <c r="I10" s="388">
        <v>0.25</v>
      </c>
      <c r="J10" s="677" t="s">
        <v>416</v>
      </c>
      <c r="K10" s="677"/>
      <c r="L10" s="389">
        <v>0.5</v>
      </c>
      <c r="M10" s="385">
        <f>I10+L10</f>
        <v>0.75</v>
      </c>
      <c r="N10" s="677" t="s">
        <v>416</v>
      </c>
      <c r="O10" s="677"/>
      <c r="P10" s="388">
        <v>0.25</v>
      </c>
      <c r="Q10" s="681" t="s">
        <v>478</v>
      </c>
      <c r="R10" s="682"/>
      <c r="S10" s="389">
        <v>0.5</v>
      </c>
      <c r="T10" s="677" t="s">
        <v>91</v>
      </c>
      <c r="U10" s="677"/>
      <c r="V10" s="388">
        <v>0</v>
      </c>
      <c r="W10" s="386">
        <f>P10+S10+V10</f>
        <v>0.75</v>
      </c>
      <c r="X10" s="390"/>
      <c r="Y10" s="507"/>
    </row>
    <row r="11" spans="1:25" s="31" customFormat="1" ht="21" customHeight="1">
      <c r="A11" s="31">
        <v>3</v>
      </c>
      <c r="B11" s="684">
        <v>45968</v>
      </c>
      <c r="C11" s="685"/>
      <c r="D11" s="686"/>
      <c r="E11" s="691" t="s">
        <v>438</v>
      </c>
      <c r="F11" s="692"/>
      <c r="G11" s="689" t="s">
        <v>477</v>
      </c>
      <c r="H11" s="690"/>
      <c r="I11" s="383">
        <v>0.25</v>
      </c>
      <c r="J11" s="697" t="s">
        <v>416</v>
      </c>
      <c r="K11" s="697"/>
      <c r="L11" s="384">
        <v>0.5</v>
      </c>
      <c r="M11" s="385">
        <f t="shared" ref="M11:M42" si="0">I11+L11</f>
        <v>0.75</v>
      </c>
      <c r="N11" s="697" t="s">
        <v>416</v>
      </c>
      <c r="O11" s="697"/>
      <c r="P11" s="383">
        <v>0.25</v>
      </c>
      <c r="Q11" s="687" t="s">
        <v>478</v>
      </c>
      <c r="R11" s="688"/>
      <c r="S11" s="383">
        <v>0.5</v>
      </c>
      <c r="T11" s="697" t="s">
        <v>416</v>
      </c>
      <c r="U11" s="697"/>
      <c r="V11" s="383">
        <v>0.25</v>
      </c>
      <c r="W11" s="386">
        <f t="shared" ref="W11:W42" si="1">P11+S11+V11</f>
        <v>1</v>
      </c>
      <c r="X11" s="391"/>
      <c r="Y11" s="507"/>
    </row>
    <row r="12" spans="1:25" s="31" customFormat="1" ht="21">
      <c r="A12" s="31">
        <v>4</v>
      </c>
      <c r="B12" s="678">
        <v>45968</v>
      </c>
      <c r="C12" s="679"/>
      <c r="D12" s="680"/>
      <c r="E12" s="681" t="s">
        <v>104</v>
      </c>
      <c r="F12" s="682"/>
      <c r="G12" s="695"/>
      <c r="H12" s="696"/>
      <c r="I12" s="388"/>
      <c r="J12" s="677"/>
      <c r="K12" s="677"/>
      <c r="L12" s="389"/>
      <c r="M12" s="385">
        <f>I12+L12</f>
        <v>0</v>
      </c>
      <c r="N12" s="677"/>
      <c r="O12" s="677"/>
      <c r="P12" s="388"/>
      <c r="Q12" s="681"/>
      <c r="R12" s="682"/>
      <c r="S12" s="389"/>
      <c r="T12" s="677"/>
      <c r="U12" s="677"/>
      <c r="V12" s="388"/>
      <c r="W12" s="386">
        <f>P12+S12+V12</f>
        <v>0</v>
      </c>
      <c r="X12" s="392"/>
      <c r="Y12" s="507"/>
    </row>
    <row r="13" spans="1:25" s="31" customFormat="1" ht="21.75" customHeight="1">
      <c r="A13" s="31">
        <v>5</v>
      </c>
      <c r="B13" s="684">
        <v>45968</v>
      </c>
      <c r="C13" s="685"/>
      <c r="D13" s="686"/>
      <c r="E13" s="687" t="s">
        <v>479</v>
      </c>
      <c r="F13" s="688"/>
      <c r="G13" s="689"/>
      <c r="H13" s="690"/>
      <c r="I13" s="383"/>
      <c r="J13" s="697"/>
      <c r="K13" s="697"/>
      <c r="L13" s="384"/>
      <c r="M13" s="385">
        <f>I13+L13</f>
        <v>0</v>
      </c>
      <c r="N13" s="697"/>
      <c r="O13" s="697"/>
      <c r="P13" s="383"/>
      <c r="Q13" s="687"/>
      <c r="R13" s="688"/>
      <c r="S13" s="383"/>
      <c r="T13" s="697"/>
      <c r="U13" s="697"/>
      <c r="V13" s="383"/>
      <c r="W13" s="386">
        <f t="shared" si="1"/>
        <v>0</v>
      </c>
      <c r="X13" s="524" t="s">
        <v>94</v>
      </c>
      <c r="Y13" s="507"/>
    </row>
    <row r="14" spans="1:25" s="31" customFormat="1" ht="21" customHeight="1">
      <c r="A14" s="31">
        <v>6</v>
      </c>
      <c r="B14" s="678">
        <v>45969</v>
      </c>
      <c r="C14" s="679"/>
      <c r="D14" s="680"/>
      <c r="E14" s="681" t="s">
        <v>480</v>
      </c>
      <c r="F14" s="682"/>
      <c r="G14" s="695"/>
      <c r="H14" s="696"/>
      <c r="I14" s="388"/>
      <c r="J14" s="677"/>
      <c r="K14" s="677"/>
      <c r="L14" s="389"/>
      <c r="M14" s="385">
        <f t="shared" si="0"/>
        <v>0</v>
      </c>
      <c r="N14" s="677"/>
      <c r="O14" s="677"/>
      <c r="P14" s="388"/>
      <c r="Q14" s="681"/>
      <c r="R14" s="682"/>
      <c r="S14" s="389"/>
      <c r="T14" s="677"/>
      <c r="U14" s="677"/>
      <c r="V14" s="388"/>
      <c r="W14" s="386">
        <f t="shared" si="1"/>
        <v>0</v>
      </c>
      <c r="X14" s="525"/>
      <c r="Y14" s="507"/>
    </row>
    <row r="15" spans="1:25" s="31" customFormat="1" ht="21.75" customHeight="1">
      <c r="A15" s="31">
        <v>7</v>
      </c>
      <c r="B15" s="684">
        <v>45970</v>
      </c>
      <c r="C15" s="685"/>
      <c r="D15" s="686"/>
      <c r="E15" s="687" t="s">
        <v>465</v>
      </c>
      <c r="F15" s="688"/>
      <c r="G15" s="689" t="s">
        <v>477</v>
      </c>
      <c r="H15" s="690"/>
      <c r="I15" s="383">
        <v>0.25</v>
      </c>
      <c r="J15" s="697" t="s">
        <v>416</v>
      </c>
      <c r="K15" s="697"/>
      <c r="L15" s="384">
        <v>0.5</v>
      </c>
      <c r="M15" s="385">
        <f>I15+L15</f>
        <v>0.75</v>
      </c>
      <c r="N15" s="697" t="s">
        <v>416</v>
      </c>
      <c r="O15" s="697"/>
      <c r="P15" s="383">
        <v>0.25</v>
      </c>
      <c r="Q15" s="687" t="s">
        <v>478</v>
      </c>
      <c r="R15" s="688"/>
      <c r="S15" s="383">
        <v>0.5</v>
      </c>
      <c r="T15" s="697" t="s">
        <v>416</v>
      </c>
      <c r="U15" s="697"/>
      <c r="V15" s="383">
        <v>0.25</v>
      </c>
      <c r="W15" s="386">
        <f>P15+S15+V15</f>
        <v>1</v>
      </c>
      <c r="X15" s="391"/>
      <c r="Y15" s="507"/>
    </row>
    <row r="16" spans="1:25" s="31" customFormat="1" ht="21.75" customHeight="1">
      <c r="A16" s="31">
        <v>8</v>
      </c>
      <c r="B16" s="678">
        <v>45971</v>
      </c>
      <c r="C16" s="679"/>
      <c r="D16" s="680"/>
      <c r="E16" s="681" t="s">
        <v>481</v>
      </c>
      <c r="F16" s="682"/>
      <c r="G16" s="695">
        <v>0.33333333333333331</v>
      </c>
      <c r="H16" s="696"/>
      <c r="I16" s="388">
        <v>0.25</v>
      </c>
      <c r="J16" s="677" t="s">
        <v>416</v>
      </c>
      <c r="K16" s="677"/>
      <c r="L16" s="389">
        <v>0.5</v>
      </c>
      <c r="M16" s="385">
        <f t="shared" si="0"/>
        <v>0.75</v>
      </c>
      <c r="N16" s="677" t="s">
        <v>416</v>
      </c>
      <c r="O16" s="677"/>
      <c r="P16" s="388">
        <v>0.25</v>
      </c>
      <c r="Q16" s="681" t="s">
        <v>475</v>
      </c>
      <c r="R16" s="682"/>
      <c r="S16" s="389">
        <v>0.5</v>
      </c>
      <c r="T16" s="677" t="s">
        <v>416</v>
      </c>
      <c r="U16" s="677"/>
      <c r="V16" s="388">
        <v>0.25</v>
      </c>
      <c r="W16" s="386">
        <f t="shared" si="1"/>
        <v>1</v>
      </c>
      <c r="X16" s="526"/>
      <c r="Y16" s="507"/>
    </row>
    <row r="17" spans="1:26" s="31" customFormat="1" ht="21.75" customHeight="1">
      <c r="A17" s="31">
        <v>9</v>
      </c>
      <c r="B17" s="684">
        <v>45971</v>
      </c>
      <c r="C17" s="685"/>
      <c r="D17" s="686"/>
      <c r="E17" s="691" t="s">
        <v>437</v>
      </c>
      <c r="F17" s="692"/>
      <c r="G17" s="689" t="s">
        <v>477</v>
      </c>
      <c r="H17" s="690"/>
      <c r="I17" s="383">
        <v>0.25</v>
      </c>
      <c r="J17" s="697" t="s">
        <v>416</v>
      </c>
      <c r="K17" s="697"/>
      <c r="L17" s="384">
        <v>0.5</v>
      </c>
      <c r="M17" s="385">
        <f t="shared" si="0"/>
        <v>0.75</v>
      </c>
      <c r="N17" s="697" t="s">
        <v>416</v>
      </c>
      <c r="O17" s="697"/>
      <c r="P17" s="383">
        <v>0.25</v>
      </c>
      <c r="Q17" s="687" t="s">
        <v>478</v>
      </c>
      <c r="R17" s="688"/>
      <c r="S17" s="383">
        <v>0.5</v>
      </c>
      <c r="T17" s="697" t="s">
        <v>416</v>
      </c>
      <c r="U17" s="697"/>
      <c r="V17" s="383">
        <v>0.25</v>
      </c>
      <c r="W17" s="386">
        <f>P17+S17+V17</f>
        <v>1</v>
      </c>
      <c r="X17" s="527"/>
      <c r="Y17" s="507"/>
    </row>
    <row r="18" spans="1:26" ht="22.5" customHeight="1">
      <c r="A18" s="31">
        <v>10</v>
      </c>
      <c r="B18" s="678">
        <v>45971</v>
      </c>
      <c r="C18" s="679"/>
      <c r="D18" s="680"/>
      <c r="E18" s="681" t="s">
        <v>457</v>
      </c>
      <c r="F18" s="682"/>
      <c r="G18" s="695" t="s">
        <v>477</v>
      </c>
      <c r="H18" s="696"/>
      <c r="I18" s="388">
        <v>0.25</v>
      </c>
      <c r="J18" s="677" t="s">
        <v>416</v>
      </c>
      <c r="K18" s="677"/>
      <c r="L18" s="389">
        <v>0.5</v>
      </c>
      <c r="M18" s="385">
        <f>I18+L18</f>
        <v>0.75</v>
      </c>
      <c r="N18" s="677" t="s">
        <v>416</v>
      </c>
      <c r="O18" s="677"/>
      <c r="P18" s="388">
        <v>0.25</v>
      </c>
      <c r="Q18" s="687" t="s">
        <v>478</v>
      </c>
      <c r="R18" s="688"/>
      <c r="S18" s="388">
        <v>0.5</v>
      </c>
      <c r="T18" s="677" t="s">
        <v>416</v>
      </c>
      <c r="U18" s="677"/>
      <c r="V18" s="388">
        <v>0.25</v>
      </c>
      <c r="W18" s="386">
        <f>P18+S18+V18</f>
        <v>1</v>
      </c>
      <c r="X18" s="393"/>
      <c r="Y18" s="287"/>
      <c r="Z18" s="31"/>
    </row>
    <row r="19" spans="1:26" ht="21.75" customHeight="1">
      <c r="A19" s="31">
        <v>11</v>
      </c>
      <c r="B19" s="700">
        <v>45972</v>
      </c>
      <c r="C19" s="701"/>
      <c r="D19" s="701"/>
      <c r="E19" s="702" t="s">
        <v>482</v>
      </c>
      <c r="F19" s="703"/>
      <c r="G19" s="689">
        <v>0.33333333333333331</v>
      </c>
      <c r="H19" s="690"/>
      <c r="I19" s="383">
        <v>0.25</v>
      </c>
      <c r="J19" s="697" t="s">
        <v>416</v>
      </c>
      <c r="K19" s="697"/>
      <c r="L19" s="384">
        <v>0.5</v>
      </c>
      <c r="M19" s="385">
        <f t="shared" si="0"/>
        <v>0.75</v>
      </c>
      <c r="N19" s="697" t="s">
        <v>416</v>
      </c>
      <c r="O19" s="697"/>
      <c r="P19" s="383">
        <v>0.25</v>
      </c>
      <c r="Q19" s="687" t="s">
        <v>475</v>
      </c>
      <c r="R19" s="688"/>
      <c r="S19" s="383">
        <v>0.5</v>
      </c>
      <c r="T19" s="697" t="s">
        <v>416</v>
      </c>
      <c r="U19" s="697"/>
      <c r="V19" s="383">
        <v>0.25</v>
      </c>
      <c r="W19" s="386">
        <f>P19+S19+V19</f>
        <v>1</v>
      </c>
      <c r="X19" s="391"/>
      <c r="Y19" s="287"/>
      <c r="Z19" s="31"/>
    </row>
    <row r="20" spans="1:26" ht="21">
      <c r="A20" s="31">
        <v>12</v>
      </c>
      <c r="B20" s="678">
        <v>45972</v>
      </c>
      <c r="C20" s="679"/>
      <c r="D20" s="680"/>
      <c r="E20" s="681" t="s">
        <v>435</v>
      </c>
      <c r="F20" s="682"/>
      <c r="G20" s="695" t="s">
        <v>477</v>
      </c>
      <c r="H20" s="696"/>
      <c r="I20" s="388">
        <v>0.25</v>
      </c>
      <c r="J20" s="677" t="s">
        <v>416</v>
      </c>
      <c r="K20" s="677"/>
      <c r="L20" s="389">
        <v>0.5</v>
      </c>
      <c r="M20" s="385">
        <f t="shared" si="0"/>
        <v>0.75</v>
      </c>
      <c r="N20" s="677" t="s">
        <v>416</v>
      </c>
      <c r="O20" s="677"/>
      <c r="P20" s="388">
        <v>0.25</v>
      </c>
      <c r="Q20" s="681" t="s">
        <v>478</v>
      </c>
      <c r="R20" s="682"/>
      <c r="S20" s="388">
        <v>0.5</v>
      </c>
      <c r="T20" s="677" t="s">
        <v>416</v>
      </c>
      <c r="U20" s="677"/>
      <c r="V20" s="388">
        <v>0.25</v>
      </c>
      <c r="W20" s="386">
        <f t="shared" si="1"/>
        <v>1</v>
      </c>
      <c r="X20" s="528"/>
      <c r="Y20" s="287"/>
    </row>
    <row r="21" spans="1:26" ht="21">
      <c r="A21" s="31">
        <v>13</v>
      </c>
      <c r="B21" s="684">
        <v>45972</v>
      </c>
      <c r="C21" s="685"/>
      <c r="D21" s="686"/>
      <c r="E21" s="691" t="s">
        <v>483</v>
      </c>
      <c r="F21" s="692"/>
      <c r="G21" s="689"/>
      <c r="H21" s="690"/>
      <c r="I21" s="383"/>
      <c r="J21" s="697"/>
      <c r="K21" s="697"/>
      <c r="L21" s="384"/>
      <c r="M21" s="385">
        <f t="shared" si="0"/>
        <v>0</v>
      </c>
      <c r="N21" s="697"/>
      <c r="O21" s="697"/>
      <c r="P21" s="383"/>
      <c r="Q21" s="687"/>
      <c r="R21" s="688"/>
      <c r="S21" s="383"/>
      <c r="T21" s="697"/>
      <c r="U21" s="697"/>
      <c r="V21" s="383"/>
      <c r="W21" s="386">
        <f t="shared" si="1"/>
        <v>0</v>
      </c>
      <c r="X21" s="394"/>
      <c r="Y21" s="287"/>
    </row>
    <row r="22" spans="1:26" ht="21">
      <c r="A22" s="31">
        <v>14</v>
      </c>
      <c r="B22" s="678">
        <v>45973</v>
      </c>
      <c r="C22" s="679"/>
      <c r="D22" s="680"/>
      <c r="E22" s="698" t="s">
        <v>439</v>
      </c>
      <c r="F22" s="699"/>
      <c r="G22" s="695" t="s">
        <v>477</v>
      </c>
      <c r="H22" s="696"/>
      <c r="I22" s="388">
        <v>0.25</v>
      </c>
      <c r="J22" s="677" t="s">
        <v>416</v>
      </c>
      <c r="K22" s="677"/>
      <c r="L22" s="389">
        <v>0.5</v>
      </c>
      <c r="M22" s="385">
        <f t="shared" si="0"/>
        <v>0.75</v>
      </c>
      <c r="N22" s="677" t="s">
        <v>416</v>
      </c>
      <c r="O22" s="677"/>
      <c r="P22" s="388">
        <v>0.25</v>
      </c>
      <c r="Q22" s="681" t="s">
        <v>478</v>
      </c>
      <c r="R22" s="682"/>
      <c r="S22" s="388">
        <v>0.5</v>
      </c>
      <c r="T22" s="677" t="s">
        <v>416</v>
      </c>
      <c r="U22" s="677"/>
      <c r="V22" s="395">
        <v>0.25</v>
      </c>
      <c r="W22" s="386">
        <f t="shared" si="1"/>
        <v>1</v>
      </c>
      <c r="X22" s="396"/>
      <c r="Y22" s="287"/>
    </row>
    <row r="23" spans="1:26" ht="21">
      <c r="A23" s="31">
        <v>15</v>
      </c>
      <c r="B23" s="684">
        <v>45973</v>
      </c>
      <c r="C23" s="685"/>
      <c r="D23" s="686"/>
      <c r="E23" s="691" t="s">
        <v>138</v>
      </c>
      <c r="F23" s="692"/>
      <c r="G23" s="689">
        <v>0.83333333333333337</v>
      </c>
      <c r="H23" s="690"/>
      <c r="I23" s="383">
        <v>0.25</v>
      </c>
      <c r="J23" s="697" t="s">
        <v>416</v>
      </c>
      <c r="K23" s="697"/>
      <c r="L23" s="384">
        <v>0.5</v>
      </c>
      <c r="M23" s="385">
        <f t="shared" si="0"/>
        <v>0.75</v>
      </c>
      <c r="N23" s="697" t="s">
        <v>416</v>
      </c>
      <c r="O23" s="697"/>
      <c r="P23" s="383">
        <v>0.25</v>
      </c>
      <c r="Q23" s="687" t="s">
        <v>520</v>
      </c>
      <c r="R23" s="688"/>
      <c r="S23" s="383">
        <v>0.3</v>
      </c>
      <c r="T23" s="697" t="s">
        <v>416</v>
      </c>
      <c r="U23" s="697"/>
      <c r="V23" s="397">
        <v>0.25</v>
      </c>
      <c r="W23" s="386">
        <f t="shared" si="1"/>
        <v>0.8</v>
      </c>
      <c r="X23" s="394"/>
      <c r="Y23" s="287"/>
    </row>
    <row r="24" spans="1:26" ht="21">
      <c r="A24" s="31">
        <v>16</v>
      </c>
      <c r="B24" s="678">
        <v>45973</v>
      </c>
      <c r="C24" s="679"/>
      <c r="D24" s="680"/>
      <c r="E24" s="698" t="s">
        <v>467</v>
      </c>
      <c r="F24" s="699"/>
      <c r="G24" s="695" t="s">
        <v>484</v>
      </c>
      <c r="H24" s="696"/>
      <c r="I24" s="388">
        <v>0.5</v>
      </c>
      <c r="J24" s="677" t="s">
        <v>416</v>
      </c>
      <c r="K24" s="677"/>
      <c r="L24" s="389">
        <v>0.5</v>
      </c>
      <c r="M24" s="385">
        <f t="shared" si="0"/>
        <v>1</v>
      </c>
      <c r="N24" s="677" t="s">
        <v>416</v>
      </c>
      <c r="O24" s="677"/>
      <c r="P24" s="388">
        <v>0.25</v>
      </c>
      <c r="Q24" s="681" t="s">
        <v>478</v>
      </c>
      <c r="R24" s="682"/>
      <c r="S24" s="388">
        <v>0.5</v>
      </c>
      <c r="T24" s="677" t="s">
        <v>416</v>
      </c>
      <c r="U24" s="677"/>
      <c r="V24" s="395">
        <v>0.25</v>
      </c>
      <c r="W24" s="386">
        <f t="shared" si="1"/>
        <v>1</v>
      </c>
      <c r="X24" s="398"/>
      <c r="Y24" s="287"/>
    </row>
    <row r="25" spans="1:26" ht="21">
      <c r="A25" s="31">
        <v>17</v>
      </c>
      <c r="B25" s="684">
        <v>45974</v>
      </c>
      <c r="C25" s="685"/>
      <c r="D25" s="686"/>
      <c r="E25" s="691" t="s">
        <v>485</v>
      </c>
      <c r="F25" s="692"/>
      <c r="G25" s="689" t="s">
        <v>484</v>
      </c>
      <c r="H25" s="690"/>
      <c r="I25" s="399">
        <v>0.5</v>
      </c>
      <c r="J25" s="697" t="s">
        <v>416</v>
      </c>
      <c r="K25" s="697"/>
      <c r="L25" s="399">
        <v>0.5</v>
      </c>
      <c r="M25" s="385">
        <f t="shared" si="0"/>
        <v>1</v>
      </c>
      <c r="N25" s="697" t="s">
        <v>416</v>
      </c>
      <c r="O25" s="697"/>
      <c r="P25" s="399">
        <v>0.25</v>
      </c>
      <c r="Q25" s="687" t="s">
        <v>526</v>
      </c>
      <c r="R25" s="688"/>
      <c r="S25" s="399">
        <v>0.5</v>
      </c>
      <c r="T25" s="697" t="s">
        <v>416</v>
      </c>
      <c r="U25" s="697"/>
      <c r="V25" s="400">
        <v>0.25</v>
      </c>
      <c r="W25" s="386">
        <f t="shared" si="1"/>
        <v>1</v>
      </c>
      <c r="X25" s="394"/>
      <c r="Y25" s="287"/>
    </row>
    <row r="26" spans="1:26" ht="21">
      <c r="A26" s="31">
        <v>18</v>
      </c>
      <c r="B26" s="678">
        <v>45974</v>
      </c>
      <c r="C26" s="679"/>
      <c r="D26" s="680"/>
      <c r="E26" s="681" t="s">
        <v>229</v>
      </c>
      <c r="F26" s="682"/>
      <c r="G26" s="695"/>
      <c r="H26" s="696"/>
      <c r="I26" s="388"/>
      <c r="J26" s="677"/>
      <c r="K26" s="677"/>
      <c r="L26" s="388"/>
      <c r="M26" s="385">
        <v>0</v>
      </c>
      <c r="N26" s="677"/>
      <c r="O26" s="677"/>
      <c r="P26" s="388"/>
      <c r="Q26" s="681"/>
      <c r="R26" s="682"/>
      <c r="S26" s="388"/>
      <c r="T26" s="677"/>
      <c r="U26" s="677"/>
      <c r="V26" s="395"/>
      <c r="W26" s="386">
        <f t="shared" si="1"/>
        <v>0</v>
      </c>
      <c r="X26" s="401"/>
      <c r="Y26" s="287"/>
    </row>
    <row r="27" spans="1:26" ht="21">
      <c r="A27" s="31">
        <v>19</v>
      </c>
      <c r="B27" s="684">
        <v>45974</v>
      </c>
      <c r="C27" s="685"/>
      <c r="D27" s="686"/>
      <c r="E27" s="691" t="s">
        <v>461</v>
      </c>
      <c r="F27" s="692"/>
      <c r="G27" s="689" t="s">
        <v>477</v>
      </c>
      <c r="H27" s="690"/>
      <c r="I27" s="383">
        <v>0.25</v>
      </c>
      <c r="J27" s="694" t="s">
        <v>416</v>
      </c>
      <c r="K27" s="694"/>
      <c r="L27" s="384">
        <v>0.5</v>
      </c>
      <c r="M27" s="385">
        <f t="shared" si="0"/>
        <v>0.75</v>
      </c>
      <c r="N27" s="694" t="s">
        <v>416</v>
      </c>
      <c r="O27" s="694"/>
      <c r="P27" s="383">
        <v>0.25</v>
      </c>
      <c r="Q27" s="687" t="s">
        <v>478</v>
      </c>
      <c r="R27" s="688"/>
      <c r="S27" s="383">
        <v>0.5</v>
      </c>
      <c r="T27" s="697" t="s">
        <v>416</v>
      </c>
      <c r="U27" s="697"/>
      <c r="V27" s="383">
        <v>0.25</v>
      </c>
      <c r="W27" s="386">
        <f t="shared" si="1"/>
        <v>1</v>
      </c>
      <c r="X27" s="394"/>
      <c r="Y27" s="287"/>
    </row>
    <row r="28" spans="1:26" ht="21">
      <c r="A28" s="31">
        <v>20</v>
      </c>
      <c r="B28" s="678"/>
      <c r="C28" s="679"/>
      <c r="D28" s="680"/>
      <c r="E28" s="681"/>
      <c r="F28" s="682"/>
      <c r="G28" s="695"/>
      <c r="H28" s="696"/>
      <c r="I28" s="388"/>
      <c r="J28" s="677"/>
      <c r="K28" s="677"/>
      <c r="L28" s="388"/>
      <c r="M28" s="385">
        <f t="shared" si="0"/>
        <v>0</v>
      </c>
      <c r="N28" s="677"/>
      <c r="O28" s="677"/>
      <c r="P28" s="388"/>
      <c r="Q28" s="681"/>
      <c r="R28" s="682"/>
      <c r="S28" s="388"/>
      <c r="T28" s="677"/>
      <c r="U28" s="677"/>
      <c r="V28" s="395"/>
      <c r="W28" s="386">
        <f t="shared" si="1"/>
        <v>0</v>
      </c>
      <c r="X28" s="401"/>
      <c r="Y28" s="287"/>
    </row>
    <row r="29" spans="1:26" ht="21">
      <c r="A29" s="31">
        <v>21</v>
      </c>
      <c r="B29" s="684"/>
      <c r="C29" s="685"/>
      <c r="D29" s="686"/>
      <c r="E29" s="687"/>
      <c r="F29" s="688"/>
      <c r="G29" s="689"/>
      <c r="H29" s="690"/>
      <c r="I29" s="383"/>
      <c r="J29" s="687"/>
      <c r="K29" s="688"/>
      <c r="L29" s="383"/>
      <c r="M29" s="385">
        <f t="shared" si="0"/>
        <v>0</v>
      </c>
      <c r="N29" s="687"/>
      <c r="O29" s="688"/>
      <c r="P29" s="383"/>
      <c r="Q29" s="687"/>
      <c r="R29" s="688"/>
      <c r="S29" s="383"/>
      <c r="T29" s="687"/>
      <c r="U29" s="688"/>
      <c r="V29" s="402"/>
      <c r="W29" s="386">
        <f t="shared" si="1"/>
        <v>0</v>
      </c>
      <c r="X29" s="403"/>
      <c r="Y29" s="287"/>
    </row>
    <row r="30" spans="1:26" ht="21">
      <c r="A30" s="31">
        <v>22</v>
      </c>
      <c r="B30" s="678"/>
      <c r="C30" s="679"/>
      <c r="D30" s="680"/>
      <c r="E30" s="681"/>
      <c r="F30" s="682"/>
      <c r="G30" s="683"/>
      <c r="H30" s="683"/>
      <c r="I30" s="388"/>
      <c r="J30" s="677"/>
      <c r="K30" s="677"/>
      <c r="L30" s="388"/>
      <c r="M30" s="385">
        <f t="shared" si="0"/>
        <v>0</v>
      </c>
      <c r="N30" s="677"/>
      <c r="O30" s="677"/>
      <c r="P30" s="388"/>
      <c r="Q30" s="677"/>
      <c r="R30" s="677"/>
      <c r="S30" s="388"/>
      <c r="T30" s="677"/>
      <c r="U30" s="677"/>
      <c r="V30" s="395"/>
      <c r="W30" s="386">
        <f t="shared" si="1"/>
        <v>0</v>
      </c>
      <c r="X30" s="401"/>
      <c r="Y30" s="287"/>
    </row>
    <row r="31" spans="1:26" ht="21">
      <c r="A31" s="31">
        <v>23</v>
      </c>
      <c r="B31" s="684"/>
      <c r="C31" s="685"/>
      <c r="D31" s="686"/>
      <c r="E31" s="691"/>
      <c r="F31" s="692"/>
      <c r="G31" s="693"/>
      <c r="H31" s="693"/>
      <c r="I31" s="399"/>
      <c r="J31" s="694"/>
      <c r="K31" s="694"/>
      <c r="L31" s="399"/>
      <c r="M31" s="385">
        <f t="shared" si="0"/>
        <v>0</v>
      </c>
      <c r="N31" s="694"/>
      <c r="O31" s="694"/>
      <c r="P31" s="399"/>
      <c r="Q31" s="694"/>
      <c r="R31" s="694"/>
      <c r="S31" s="399"/>
      <c r="T31" s="697"/>
      <c r="U31" s="697"/>
      <c r="V31" s="400"/>
      <c r="W31" s="386">
        <f t="shared" si="1"/>
        <v>0</v>
      </c>
      <c r="X31" s="403"/>
      <c r="Y31" s="287"/>
    </row>
    <row r="32" spans="1:26" ht="21">
      <c r="A32" s="31">
        <v>24</v>
      </c>
      <c r="B32" s="678"/>
      <c r="C32" s="679"/>
      <c r="D32" s="680"/>
      <c r="E32" s="681"/>
      <c r="F32" s="682"/>
      <c r="G32" s="695"/>
      <c r="H32" s="696"/>
      <c r="I32" s="388"/>
      <c r="J32" s="681"/>
      <c r="K32" s="682"/>
      <c r="L32" s="388"/>
      <c r="M32" s="385">
        <f t="shared" si="0"/>
        <v>0</v>
      </c>
      <c r="N32" s="681"/>
      <c r="O32" s="682"/>
      <c r="P32" s="388"/>
      <c r="Q32" s="681"/>
      <c r="R32" s="682"/>
      <c r="S32" s="388"/>
      <c r="T32" s="681"/>
      <c r="U32" s="682"/>
      <c r="V32" s="404"/>
      <c r="W32" s="386">
        <f t="shared" si="1"/>
        <v>0</v>
      </c>
      <c r="X32" s="401"/>
      <c r="Y32" s="287"/>
    </row>
    <row r="33" spans="1:25" ht="21">
      <c r="A33" s="31">
        <v>25</v>
      </c>
      <c r="B33" s="684"/>
      <c r="C33" s="685"/>
      <c r="D33" s="686"/>
      <c r="E33" s="691"/>
      <c r="F33" s="692"/>
      <c r="G33" s="693"/>
      <c r="H33" s="693"/>
      <c r="I33" s="399"/>
      <c r="J33" s="694"/>
      <c r="K33" s="694"/>
      <c r="L33" s="399"/>
      <c r="M33" s="385">
        <f t="shared" si="0"/>
        <v>0</v>
      </c>
      <c r="N33" s="694"/>
      <c r="O33" s="694"/>
      <c r="P33" s="399"/>
      <c r="Q33" s="694"/>
      <c r="R33" s="694"/>
      <c r="S33" s="399"/>
      <c r="T33" s="694"/>
      <c r="U33" s="694"/>
      <c r="V33" s="400"/>
      <c r="W33" s="386">
        <f t="shared" si="1"/>
        <v>0</v>
      </c>
      <c r="X33" s="403"/>
      <c r="Y33" s="287"/>
    </row>
    <row r="34" spans="1:25" ht="21">
      <c r="A34" s="31">
        <v>26</v>
      </c>
      <c r="B34" s="678"/>
      <c r="C34" s="679"/>
      <c r="D34" s="680"/>
      <c r="E34" s="681"/>
      <c r="F34" s="682"/>
      <c r="G34" s="683"/>
      <c r="H34" s="683"/>
      <c r="I34" s="388"/>
      <c r="J34" s="677"/>
      <c r="K34" s="677"/>
      <c r="L34" s="388"/>
      <c r="M34" s="385">
        <f t="shared" si="0"/>
        <v>0</v>
      </c>
      <c r="N34" s="677"/>
      <c r="O34" s="677"/>
      <c r="P34" s="388"/>
      <c r="Q34" s="677"/>
      <c r="R34" s="677"/>
      <c r="S34" s="388"/>
      <c r="T34" s="677"/>
      <c r="U34" s="677"/>
      <c r="V34" s="395"/>
      <c r="W34" s="386">
        <f t="shared" si="1"/>
        <v>0</v>
      </c>
      <c r="X34" s="401"/>
      <c r="Y34" s="287"/>
    </row>
    <row r="35" spans="1:25" ht="21">
      <c r="A35" s="31">
        <v>27</v>
      </c>
      <c r="B35" s="684"/>
      <c r="C35" s="685"/>
      <c r="D35" s="686"/>
      <c r="E35" s="687"/>
      <c r="F35" s="688"/>
      <c r="G35" s="689"/>
      <c r="H35" s="690"/>
      <c r="I35" s="383"/>
      <c r="J35" s="687"/>
      <c r="K35" s="688"/>
      <c r="L35" s="383"/>
      <c r="M35" s="385">
        <f t="shared" si="0"/>
        <v>0</v>
      </c>
      <c r="N35" s="687"/>
      <c r="O35" s="688"/>
      <c r="P35" s="383"/>
      <c r="Q35" s="687"/>
      <c r="R35" s="688"/>
      <c r="S35" s="383"/>
      <c r="T35" s="687"/>
      <c r="U35" s="688"/>
      <c r="V35" s="402"/>
      <c r="W35" s="386">
        <f t="shared" si="1"/>
        <v>0</v>
      </c>
      <c r="X35" s="403"/>
      <c r="Y35" s="287"/>
    </row>
    <row r="36" spans="1:25" ht="21">
      <c r="A36" s="31">
        <v>28</v>
      </c>
      <c r="B36" s="678"/>
      <c r="C36" s="679"/>
      <c r="D36" s="680"/>
      <c r="E36" s="681"/>
      <c r="F36" s="682"/>
      <c r="G36" s="683"/>
      <c r="H36" s="683"/>
      <c r="I36" s="388"/>
      <c r="J36" s="677"/>
      <c r="K36" s="677"/>
      <c r="L36" s="388"/>
      <c r="M36" s="385">
        <f t="shared" si="0"/>
        <v>0</v>
      </c>
      <c r="N36" s="677"/>
      <c r="O36" s="677"/>
      <c r="P36" s="388"/>
      <c r="Q36" s="677"/>
      <c r="R36" s="677"/>
      <c r="S36" s="388"/>
      <c r="T36" s="677"/>
      <c r="U36" s="677"/>
      <c r="V36" s="395"/>
      <c r="W36" s="386">
        <f t="shared" si="1"/>
        <v>0</v>
      </c>
      <c r="X36" s="401"/>
      <c r="Y36" s="287"/>
    </row>
    <row r="37" spans="1:25" ht="21">
      <c r="A37" s="31">
        <v>29</v>
      </c>
      <c r="B37" s="684"/>
      <c r="C37" s="685"/>
      <c r="D37" s="686"/>
      <c r="E37" s="691"/>
      <c r="F37" s="692"/>
      <c r="G37" s="693"/>
      <c r="H37" s="693"/>
      <c r="I37" s="399"/>
      <c r="J37" s="694"/>
      <c r="K37" s="694"/>
      <c r="L37" s="399"/>
      <c r="M37" s="385">
        <f t="shared" si="0"/>
        <v>0</v>
      </c>
      <c r="N37" s="694"/>
      <c r="O37" s="694"/>
      <c r="P37" s="399"/>
      <c r="Q37" s="694"/>
      <c r="R37" s="694"/>
      <c r="S37" s="399"/>
      <c r="T37" s="694"/>
      <c r="U37" s="694"/>
      <c r="V37" s="400"/>
      <c r="W37" s="386">
        <f t="shared" si="1"/>
        <v>0</v>
      </c>
      <c r="X37" s="403"/>
      <c r="Y37" s="287"/>
    </row>
    <row r="38" spans="1:25" ht="21">
      <c r="A38" s="31">
        <v>30</v>
      </c>
      <c r="B38" s="678"/>
      <c r="C38" s="679"/>
      <c r="D38" s="680"/>
      <c r="E38" s="681"/>
      <c r="F38" s="682"/>
      <c r="G38" s="695"/>
      <c r="H38" s="696"/>
      <c r="I38" s="388"/>
      <c r="J38" s="681"/>
      <c r="K38" s="682"/>
      <c r="L38" s="388"/>
      <c r="M38" s="385">
        <f t="shared" si="0"/>
        <v>0</v>
      </c>
      <c r="N38" s="681"/>
      <c r="O38" s="682"/>
      <c r="P38" s="388"/>
      <c r="Q38" s="681"/>
      <c r="R38" s="682"/>
      <c r="S38" s="388"/>
      <c r="T38" s="681"/>
      <c r="U38" s="682"/>
      <c r="V38" s="404"/>
      <c r="W38" s="386">
        <f t="shared" si="1"/>
        <v>0</v>
      </c>
      <c r="X38" s="401"/>
      <c r="Y38" s="287"/>
    </row>
    <row r="39" spans="1:25" ht="21">
      <c r="A39" s="31">
        <v>31</v>
      </c>
      <c r="B39" s="684"/>
      <c r="C39" s="685"/>
      <c r="D39" s="686"/>
      <c r="E39" s="691"/>
      <c r="F39" s="692"/>
      <c r="G39" s="693"/>
      <c r="H39" s="693"/>
      <c r="I39" s="399"/>
      <c r="J39" s="694"/>
      <c r="K39" s="694"/>
      <c r="L39" s="399"/>
      <c r="M39" s="385">
        <f t="shared" si="0"/>
        <v>0</v>
      </c>
      <c r="N39" s="694"/>
      <c r="O39" s="694"/>
      <c r="P39" s="399"/>
      <c r="Q39" s="694"/>
      <c r="R39" s="694"/>
      <c r="S39" s="399"/>
      <c r="T39" s="694"/>
      <c r="U39" s="694"/>
      <c r="V39" s="400"/>
      <c r="W39" s="386">
        <f t="shared" si="1"/>
        <v>0</v>
      </c>
      <c r="X39" s="403"/>
      <c r="Y39" s="287"/>
    </row>
    <row r="40" spans="1:25" ht="21">
      <c r="A40" s="31">
        <v>32</v>
      </c>
      <c r="B40" s="678"/>
      <c r="C40" s="679"/>
      <c r="D40" s="680"/>
      <c r="E40" s="681"/>
      <c r="F40" s="682"/>
      <c r="G40" s="683"/>
      <c r="H40" s="683"/>
      <c r="I40" s="388"/>
      <c r="J40" s="677"/>
      <c r="K40" s="677"/>
      <c r="L40" s="388"/>
      <c r="M40" s="385">
        <f t="shared" si="0"/>
        <v>0</v>
      </c>
      <c r="N40" s="677"/>
      <c r="O40" s="677"/>
      <c r="P40" s="388"/>
      <c r="Q40" s="677"/>
      <c r="R40" s="677"/>
      <c r="S40" s="388"/>
      <c r="T40" s="677"/>
      <c r="U40" s="677"/>
      <c r="V40" s="395"/>
      <c r="W40" s="386">
        <f t="shared" si="1"/>
        <v>0</v>
      </c>
      <c r="X40" s="401"/>
      <c r="Y40" s="287"/>
    </row>
    <row r="41" spans="1:25" ht="21">
      <c r="A41" s="31">
        <v>33</v>
      </c>
      <c r="B41" s="684"/>
      <c r="C41" s="685"/>
      <c r="D41" s="686"/>
      <c r="E41" s="687"/>
      <c r="F41" s="688"/>
      <c r="G41" s="689"/>
      <c r="H41" s="690"/>
      <c r="I41" s="383"/>
      <c r="J41" s="687"/>
      <c r="K41" s="688"/>
      <c r="L41" s="383"/>
      <c r="M41" s="385">
        <f t="shared" si="0"/>
        <v>0</v>
      </c>
      <c r="N41" s="687"/>
      <c r="O41" s="688"/>
      <c r="P41" s="383"/>
      <c r="Q41" s="687"/>
      <c r="R41" s="688"/>
      <c r="S41" s="383"/>
      <c r="T41" s="687"/>
      <c r="U41" s="688"/>
      <c r="V41" s="402"/>
      <c r="W41" s="386">
        <f t="shared" si="1"/>
        <v>0</v>
      </c>
      <c r="X41" s="403"/>
      <c r="Y41" s="287"/>
    </row>
    <row r="42" spans="1:25" ht="21">
      <c r="A42" s="31">
        <v>34</v>
      </c>
      <c r="B42" s="678"/>
      <c r="C42" s="679"/>
      <c r="D42" s="680"/>
      <c r="E42" s="681"/>
      <c r="F42" s="682"/>
      <c r="G42" s="683"/>
      <c r="H42" s="683"/>
      <c r="I42" s="388"/>
      <c r="J42" s="677"/>
      <c r="K42" s="677"/>
      <c r="L42" s="388"/>
      <c r="M42" s="385">
        <f t="shared" si="0"/>
        <v>0</v>
      </c>
      <c r="N42" s="677"/>
      <c r="O42" s="677"/>
      <c r="P42" s="388"/>
      <c r="Q42" s="677"/>
      <c r="R42" s="677"/>
      <c r="S42" s="388"/>
      <c r="T42" s="677"/>
      <c r="U42" s="677"/>
      <c r="V42" s="395"/>
      <c r="W42" s="386">
        <f t="shared" si="1"/>
        <v>0</v>
      </c>
      <c r="X42" s="401"/>
      <c r="Y42" s="287"/>
    </row>
  </sheetData>
  <mergeCells count="256">
    <mergeCell ref="B1:W1"/>
    <mergeCell ref="B3:D3"/>
    <mergeCell ref="E3:K3"/>
    <mergeCell ref="P3:W4"/>
    <mergeCell ref="B4:D4"/>
    <mergeCell ref="E4:K4"/>
    <mergeCell ref="B6:W6"/>
    <mergeCell ref="G7:L7"/>
    <mergeCell ref="M7:M8"/>
    <mergeCell ref="N7:V7"/>
    <mergeCell ref="W7:W8"/>
    <mergeCell ref="B8:D8"/>
    <mergeCell ref="E8:F8"/>
    <mergeCell ref="G8:H8"/>
    <mergeCell ref="J8:K8"/>
    <mergeCell ref="N8:O8"/>
    <mergeCell ref="Q8:R8"/>
    <mergeCell ref="T8:U8"/>
    <mergeCell ref="B9:D9"/>
    <mergeCell ref="E9:F9"/>
    <mergeCell ref="G9:H9"/>
    <mergeCell ref="J9:K9"/>
    <mergeCell ref="N9:O9"/>
    <mergeCell ref="Q9:R9"/>
    <mergeCell ref="T9:U9"/>
    <mergeCell ref="T10:U10"/>
    <mergeCell ref="B11:D11"/>
    <mergeCell ref="E11:F11"/>
    <mergeCell ref="G11:H11"/>
    <mergeCell ref="J11:K11"/>
    <mergeCell ref="N11:O11"/>
    <mergeCell ref="Q11:R11"/>
    <mergeCell ref="T11:U11"/>
    <mergeCell ref="B10:D10"/>
    <mergeCell ref="E10:F10"/>
    <mergeCell ref="G10:H10"/>
    <mergeCell ref="J10:K10"/>
    <mergeCell ref="N10:O10"/>
    <mergeCell ref="Q10:R10"/>
    <mergeCell ref="T12:U12"/>
    <mergeCell ref="B13:D13"/>
    <mergeCell ref="E13:F13"/>
    <mergeCell ref="G13:H13"/>
    <mergeCell ref="J13:K13"/>
    <mergeCell ref="N13:O13"/>
    <mergeCell ref="Q13:R13"/>
    <mergeCell ref="T13:U13"/>
    <mergeCell ref="B12:D12"/>
    <mergeCell ref="E12:F12"/>
    <mergeCell ref="G12:H12"/>
    <mergeCell ref="J12:K12"/>
    <mergeCell ref="N12:O12"/>
    <mergeCell ref="Q12:R12"/>
    <mergeCell ref="T14:U14"/>
    <mergeCell ref="B15:D15"/>
    <mergeCell ref="E15:F15"/>
    <mergeCell ref="G15:H15"/>
    <mergeCell ref="J15:K15"/>
    <mergeCell ref="N15:O15"/>
    <mergeCell ref="Q15:R15"/>
    <mergeCell ref="T15:U15"/>
    <mergeCell ref="B14:D14"/>
    <mergeCell ref="E14:F14"/>
    <mergeCell ref="G14:H14"/>
    <mergeCell ref="J14:K14"/>
    <mergeCell ref="N14:O14"/>
    <mergeCell ref="Q14:R14"/>
    <mergeCell ref="T16:U16"/>
    <mergeCell ref="B17:D17"/>
    <mergeCell ref="E17:F17"/>
    <mergeCell ref="G17:H17"/>
    <mergeCell ref="J17:K17"/>
    <mergeCell ref="N17:O17"/>
    <mergeCell ref="Q17:R17"/>
    <mergeCell ref="T17:U17"/>
    <mergeCell ref="B16:D16"/>
    <mergeCell ref="E16:F16"/>
    <mergeCell ref="G16:H16"/>
    <mergeCell ref="J16:K16"/>
    <mergeCell ref="N16:O16"/>
    <mergeCell ref="Q16:R16"/>
    <mergeCell ref="T18:U18"/>
    <mergeCell ref="B19:D19"/>
    <mergeCell ref="E19:F19"/>
    <mergeCell ref="G19:H19"/>
    <mergeCell ref="J19:K19"/>
    <mergeCell ref="N19:O19"/>
    <mergeCell ref="Q19:R19"/>
    <mergeCell ref="T19:U19"/>
    <mergeCell ref="B18:D18"/>
    <mergeCell ref="E18:F18"/>
    <mergeCell ref="G18:H18"/>
    <mergeCell ref="J18:K18"/>
    <mergeCell ref="N18:O18"/>
    <mergeCell ref="Q18:R18"/>
    <mergeCell ref="T20:U20"/>
    <mergeCell ref="B21:D21"/>
    <mergeCell ref="E21:F21"/>
    <mergeCell ref="G21:H21"/>
    <mergeCell ref="J21:K21"/>
    <mergeCell ref="N21:O21"/>
    <mergeCell ref="Q21:R21"/>
    <mergeCell ref="T21:U21"/>
    <mergeCell ref="B20:D20"/>
    <mergeCell ref="E20:F20"/>
    <mergeCell ref="G20:H20"/>
    <mergeCell ref="J20:K20"/>
    <mergeCell ref="N20:O20"/>
    <mergeCell ref="Q20:R20"/>
    <mergeCell ref="T22:U22"/>
    <mergeCell ref="B23:D23"/>
    <mergeCell ref="E23:F23"/>
    <mergeCell ref="G23:H23"/>
    <mergeCell ref="J23:K23"/>
    <mergeCell ref="N23:O23"/>
    <mergeCell ref="Q23:R23"/>
    <mergeCell ref="T23:U23"/>
    <mergeCell ref="B22:D22"/>
    <mergeCell ref="E22:F22"/>
    <mergeCell ref="G22:H22"/>
    <mergeCell ref="J22:K22"/>
    <mergeCell ref="N22:O22"/>
    <mergeCell ref="Q22:R22"/>
    <mergeCell ref="T24:U24"/>
    <mergeCell ref="B25:D25"/>
    <mergeCell ref="E25:F25"/>
    <mergeCell ref="G25:H25"/>
    <mergeCell ref="J25:K25"/>
    <mergeCell ref="N25:O25"/>
    <mergeCell ref="Q25:R25"/>
    <mergeCell ref="T25:U25"/>
    <mergeCell ref="B24:D24"/>
    <mergeCell ref="E24:F24"/>
    <mergeCell ref="G24:H24"/>
    <mergeCell ref="J24:K24"/>
    <mergeCell ref="N24:O24"/>
    <mergeCell ref="Q24:R24"/>
    <mergeCell ref="T26:U26"/>
    <mergeCell ref="B27:D27"/>
    <mergeCell ref="E27:F27"/>
    <mergeCell ref="G27:H27"/>
    <mergeCell ref="J27:K27"/>
    <mergeCell ref="N27:O27"/>
    <mergeCell ref="Q27:R27"/>
    <mergeCell ref="T27:U27"/>
    <mergeCell ref="B26:D26"/>
    <mergeCell ref="E26:F26"/>
    <mergeCell ref="G26:H26"/>
    <mergeCell ref="J26:K26"/>
    <mergeCell ref="N26:O26"/>
    <mergeCell ref="Q26:R26"/>
    <mergeCell ref="T28:U28"/>
    <mergeCell ref="B29:D29"/>
    <mergeCell ref="E29:F29"/>
    <mergeCell ref="G29:H29"/>
    <mergeCell ref="J29:K29"/>
    <mergeCell ref="N29:O29"/>
    <mergeCell ref="Q29:R29"/>
    <mergeCell ref="T29:U29"/>
    <mergeCell ref="B28:D28"/>
    <mergeCell ref="E28:F28"/>
    <mergeCell ref="G28:H28"/>
    <mergeCell ref="J28:K28"/>
    <mergeCell ref="N28:O28"/>
    <mergeCell ref="Q28:R28"/>
    <mergeCell ref="T30:U30"/>
    <mergeCell ref="B31:D31"/>
    <mergeCell ref="E31:F31"/>
    <mergeCell ref="G31:H31"/>
    <mergeCell ref="J31:K31"/>
    <mergeCell ref="N31:O31"/>
    <mergeCell ref="Q31:R31"/>
    <mergeCell ref="T31:U31"/>
    <mergeCell ref="B30:D30"/>
    <mergeCell ref="E30:F30"/>
    <mergeCell ref="G30:H30"/>
    <mergeCell ref="J30:K30"/>
    <mergeCell ref="N30:O30"/>
    <mergeCell ref="Q30:R30"/>
    <mergeCell ref="T32:U32"/>
    <mergeCell ref="B33:D33"/>
    <mergeCell ref="E33:F33"/>
    <mergeCell ref="G33:H33"/>
    <mergeCell ref="J33:K33"/>
    <mergeCell ref="N33:O33"/>
    <mergeCell ref="Q33:R33"/>
    <mergeCell ref="T33:U33"/>
    <mergeCell ref="B32:D32"/>
    <mergeCell ref="E32:F32"/>
    <mergeCell ref="G32:H32"/>
    <mergeCell ref="J32:K32"/>
    <mergeCell ref="N32:O32"/>
    <mergeCell ref="Q32:R32"/>
    <mergeCell ref="T34:U34"/>
    <mergeCell ref="B35:D35"/>
    <mergeCell ref="E35:F35"/>
    <mergeCell ref="G35:H35"/>
    <mergeCell ref="J35:K35"/>
    <mergeCell ref="N35:O35"/>
    <mergeCell ref="Q35:R35"/>
    <mergeCell ref="T35:U35"/>
    <mergeCell ref="B34:D34"/>
    <mergeCell ref="E34:F34"/>
    <mergeCell ref="G34:H34"/>
    <mergeCell ref="J34:K34"/>
    <mergeCell ref="N34:O34"/>
    <mergeCell ref="Q34:R34"/>
    <mergeCell ref="T36:U36"/>
    <mergeCell ref="B37:D37"/>
    <mergeCell ref="E37:F37"/>
    <mergeCell ref="G37:H37"/>
    <mergeCell ref="J37:K37"/>
    <mergeCell ref="N37:O37"/>
    <mergeCell ref="Q37:R37"/>
    <mergeCell ref="T37:U37"/>
    <mergeCell ref="B36:D36"/>
    <mergeCell ref="E36:F36"/>
    <mergeCell ref="G36:H36"/>
    <mergeCell ref="J36:K36"/>
    <mergeCell ref="N36:O36"/>
    <mergeCell ref="Q36:R36"/>
    <mergeCell ref="T38:U38"/>
    <mergeCell ref="B39:D39"/>
    <mergeCell ref="E39:F39"/>
    <mergeCell ref="G39:H39"/>
    <mergeCell ref="J39:K39"/>
    <mergeCell ref="N39:O39"/>
    <mergeCell ref="Q39:R39"/>
    <mergeCell ref="T39:U39"/>
    <mergeCell ref="B38:D38"/>
    <mergeCell ref="E38:F38"/>
    <mergeCell ref="G38:H38"/>
    <mergeCell ref="J38:K38"/>
    <mergeCell ref="N38:O38"/>
    <mergeCell ref="Q38:R38"/>
    <mergeCell ref="T42:U42"/>
    <mergeCell ref="B42:D42"/>
    <mergeCell ref="E42:F42"/>
    <mergeCell ref="G42:H42"/>
    <mergeCell ref="J42:K42"/>
    <mergeCell ref="N42:O42"/>
    <mergeCell ref="Q42:R42"/>
    <mergeCell ref="T40:U40"/>
    <mergeCell ref="B41:D41"/>
    <mergeCell ref="E41:F41"/>
    <mergeCell ref="G41:H41"/>
    <mergeCell ref="J41:K41"/>
    <mergeCell ref="N41:O41"/>
    <mergeCell ref="Q41:R41"/>
    <mergeCell ref="T41:U41"/>
    <mergeCell ref="B40:D40"/>
    <mergeCell ref="E40:F40"/>
    <mergeCell ref="G40:H40"/>
    <mergeCell ref="J40:K40"/>
    <mergeCell ref="N40:O40"/>
    <mergeCell ref="Q40:R40"/>
  </mergeCells>
  <conditionalFormatting sqref="J9:L42">
    <cfRule type="cellIs" dxfId="65" priority="61" operator="equal">
      <formula>"Yes"</formula>
    </cfRule>
    <cfRule type="cellIs" dxfId="64" priority="62" operator="equal">
      <formula>"No"</formula>
    </cfRule>
  </conditionalFormatting>
  <conditionalFormatting sqref="M7:M8 W7:W8">
    <cfRule type="cellIs" dxfId="63" priority="64" operator="greaterThan">
      <formula>0.849999999999999</formula>
    </cfRule>
    <cfRule type="cellIs" dxfId="62" priority="65" operator="between">
      <formula>0.75</formula>
      <formula>0.85</formula>
    </cfRule>
    <cfRule type="cellIs" dxfId="61" priority="66" stopIfTrue="1" operator="lessThan">
      <formula>0.75</formula>
    </cfRule>
  </conditionalFormatting>
  <conditionalFormatting sqref="N9:O26">
    <cfRule type="cellIs" dxfId="60" priority="33" operator="equal">
      <formula>"Yes"</formula>
    </cfRule>
    <cfRule type="cellIs" dxfId="59" priority="34" operator="equal">
      <formula>"No"</formula>
    </cfRule>
  </conditionalFormatting>
  <conditionalFormatting sqref="N27:O27 N29:R42 P25:P26 N28:P28">
    <cfRule type="cellIs" dxfId="58" priority="59" operator="equal">
      <formula>"No"</formula>
    </cfRule>
  </conditionalFormatting>
  <conditionalFormatting sqref="P25:P26 N28:P42 N27:O27">
    <cfRule type="cellIs" dxfId="57" priority="60" operator="equal">
      <formula>"Yes"</formula>
    </cfRule>
  </conditionalFormatting>
  <conditionalFormatting sqref="Q9:R25">
    <cfRule type="cellIs" dxfId="56" priority="30" operator="equal">
      <formula>"No"</formula>
    </cfRule>
    <cfRule type="cellIs" dxfId="55" priority="31" stopIfTrue="1" operator="greaterThan">
      <formula>5.9999999999</formula>
    </cfRule>
    <cfRule type="cellIs" dxfId="54" priority="32" operator="between">
      <formula>0.1</formula>
      <formula>5.999</formula>
    </cfRule>
  </conditionalFormatting>
  <conditionalFormatting sqref="Q13:R13">
    <cfRule type="cellIs" dxfId="53" priority="21" stopIfTrue="1" operator="greaterThan">
      <formula>5.9999999999</formula>
    </cfRule>
    <cfRule type="cellIs" dxfId="52" priority="22" operator="between">
      <formula>0.1</formula>
      <formula>5.999</formula>
    </cfRule>
    <cfRule type="cellIs" dxfId="51" priority="23" stopIfTrue="1" operator="greaterThan">
      <formula>5.9999999999</formula>
    </cfRule>
    <cfRule type="cellIs" dxfId="50" priority="24" operator="between">
      <formula>0.1</formula>
      <formula>5.999</formula>
    </cfRule>
    <cfRule type="cellIs" dxfId="49" priority="25" stopIfTrue="1" operator="greaterThan">
      <formula>5.9999999999</formula>
    </cfRule>
    <cfRule type="cellIs" dxfId="48" priority="26" operator="between">
      <formula>0.1</formula>
      <formula>5.999</formula>
    </cfRule>
    <cfRule type="cellIs" dxfId="47" priority="27" operator="equal">
      <formula>"No"</formula>
    </cfRule>
    <cfRule type="cellIs" dxfId="46" priority="28" stopIfTrue="1" operator="greaterThan">
      <formula>5.9999999999</formula>
    </cfRule>
    <cfRule type="cellIs" dxfId="45" priority="29" operator="between">
      <formula>0.1</formula>
      <formula>5.999</formula>
    </cfRule>
  </conditionalFormatting>
  <conditionalFormatting sqref="Q14:R14">
    <cfRule type="cellIs" dxfId="44" priority="43" stopIfTrue="1" operator="greaterThan">
      <formula>5.9999999999</formula>
    </cfRule>
    <cfRule type="cellIs" dxfId="43" priority="44" operator="between">
      <formula>0.1</formula>
      <formula>5.999</formula>
    </cfRule>
    <cfRule type="cellIs" dxfId="42" priority="46" stopIfTrue="1" operator="greaterThan">
      <formula>5.9999999999</formula>
    </cfRule>
    <cfRule type="cellIs" dxfId="41" priority="47" operator="between">
      <formula>0.1</formula>
      <formula>5.999</formula>
    </cfRule>
    <cfRule type="cellIs" dxfId="40" priority="48" stopIfTrue="1" operator="greaterThan">
      <formula>5.9999999999</formula>
    </cfRule>
    <cfRule type="cellIs" dxfId="39" priority="49" operator="between">
      <formula>0.1</formula>
      <formula>5.999</formula>
    </cfRule>
    <cfRule type="cellIs" dxfId="38" priority="54" stopIfTrue="1" operator="greaterThan">
      <formula>5.9999999999</formula>
    </cfRule>
    <cfRule type="cellIs" dxfId="37" priority="55" operator="between">
      <formula>0.1</formula>
      <formula>5.999</formula>
    </cfRule>
    <cfRule type="cellIs" dxfId="36" priority="56" operator="equal">
      <formula>"No"</formula>
    </cfRule>
  </conditionalFormatting>
  <conditionalFormatting sqref="Q16:R16">
    <cfRule type="cellIs" dxfId="35" priority="8" stopIfTrue="1" operator="greaterThan">
      <formula>5.9999999999</formula>
    </cfRule>
    <cfRule type="cellIs" dxfId="34" priority="9" operator="between">
      <formula>0.1</formula>
      <formula>5.999</formula>
    </cfRule>
    <cfRule type="cellIs" dxfId="33" priority="10" stopIfTrue="1" operator="greaterThan">
      <formula>5.9999999999</formula>
    </cfRule>
    <cfRule type="cellIs" dxfId="32" priority="11" operator="between">
      <formula>0.1</formula>
      <formula>5.999</formula>
    </cfRule>
    <cfRule type="cellIs" dxfId="31" priority="12" stopIfTrue="1" operator="greaterThan">
      <formula>5.9999999999</formula>
    </cfRule>
    <cfRule type="cellIs" dxfId="30" priority="13" operator="between">
      <formula>0.1</formula>
      <formula>5.999</formula>
    </cfRule>
    <cfRule type="cellIs" dxfId="29" priority="14" operator="equal">
      <formula>"No"</formula>
    </cfRule>
    <cfRule type="cellIs" dxfId="28" priority="15" stopIfTrue="1" operator="greaterThan">
      <formula>5.9999999999</formula>
    </cfRule>
    <cfRule type="cellIs" dxfId="27" priority="16" operator="between">
      <formula>0.1</formula>
      <formula>5.999</formula>
    </cfRule>
    <cfRule type="cellIs" dxfId="26" priority="17" operator="equal">
      <formula>"No"</formula>
    </cfRule>
  </conditionalFormatting>
  <conditionalFormatting sqref="Q24:R24">
    <cfRule type="cellIs" dxfId="25" priority="37" operator="equal">
      <formula>"No"</formula>
    </cfRule>
    <cfRule type="cellIs" dxfId="24" priority="38" stopIfTrue="1" operator="greaterThan">
      <formula>5.9999999999</formula>
    </cfRule>
    <cfRule type="cellIs" dxfId="23" priority="39" operator="between">
      <formula>0.1</formula>
      <formula>5.999</formula>
    </cfRule>
    <cfRule type="cellIs" dxfId="22" priority="40" operator="equal">
      <formula>"No"</formula>
    </cfRule>
    <cfRule type="cellIs" dxfId="21" priority="41" stopIfTrue="1" operator="greaterThan">
      <formula>5.9999999999</formula>
    </cfRule>
    <cfRule type="cellIs" dxfId="20" priority="42" operator="between">
      <formula>0.1</formula>
      <formula>5.999</formula>
    </cfRule>
    <cfRule type="cellIs" dxfId="19" priority="45" operator="equal">
      <formula>"No"</formula>
    </cfRule>
    <cfRule type="cellIs" dxfId="18" priority="57" stopIfTrue="1" operator="greaterThan">
      <formula>5.9999999999</formula>
    </cfRule>
    <cfRule type="cellIs" dxfId="17" priority="58" operator="between">
      <formula>0.1</formula>
      <formula>5.999</formula>
    </cfRule>
    <cfRule type="cellIs" dxfId="16" priority="63" operator="equal">
      <formula>"No"</formula>
    </cfRule>
  </conditionalFormatting>
  <conditionalFormatting sqref="Q26:R26 Q28:R28">
    <cfRule type="cellIs" dxfId="15" priority="18" operator="equal">
      <formula>"No"</formula>
    </cfRule>
  </conditionalFormatting>
  <conditionalFormatting sqref="Q26:R26 Q28:R42">
    <cfRule type="cellIs" dxfId="14" priority="19" stopIfTrue="1" operator="greaterThan">
      <formula>5.9999999999</formula>
    </cfRule>
    <cfRule type="cellIs" dxfId="13" priority="20" operator="between">
      <formula>0.1</formula>
      <formula>5.999</formula>
    </cfRule>
  </conditionalFormatting>
  <conditionalFormatting sqref="Q14:S14">
    <cfRule type="cellIs" dxfId="12" priority="50" operator="equal">
      <formula>"No"</formula>
    </cfRule>
  </conditionalFormatting>
  <conditionalFormatting sqref="S10">
    <cfRule type="cellIs" dxfId="11" priority="51" operator="equal">
      <formula>"Yes"</formula>
    </cfRule>
    <cfRule type="cellIs" dxfId="10" priority="52" operator="equal">
      <formula>"No"</formula>
    </cfRule>
  </conditionalFormatting>
  <conditionalFormatting sqref="S12">
    <cfRule type="cellIs" dxfId="9" priority="4" operator="equal">
      <formula>"Yes"</formula>
    </cfRule>
    <cfRule type="cellIs" dxfId="8" priority="5" operator="equal">
      <formula>"No"</formula>
    </cfRule>
  </conditionalFormatting>
  <conditionalFormatting sqref="S14">
    <cfRule type="cellIs" dxfId="7" priority="53" operator="equal">
      <formula>"Yes"</formula>
    </cfRule>
  </conditionalFormatting>
  <conditionalFormatting sqref="S16">
    <cfRule type="cellIs" dxfId="6" priority="6" operator="equal">
      <formula>"No"</formula>
    </cfRule>
    <cfRule type="cellIs" dxfId="5" priority="7" operator="equal">
      <formula>"Yes"</formula>
    </cfRule>
  </conditionalFormatting>
  <conditionalFormatting sqref="T9:U42">
    <cfRule type="cellIs" dxfId="4" priority="35" operator="equal">
      <formula>"Yes"</formula>
    </cfRule>
    <cfRule type="cellIs" dxfId="3" priority="36" operator="equal">
      <formula>"No"</formula>
    </cfRule>
  </conditionalFormatting>
  <conditionalFormatting sqref="Q27:R27">
    <cfRule type="cellIs" dxfId="2" priority="1" operator="equal">
      <formula>"No"</formula>
    </cfRule>
    <cfRule type="cellIs" dxfId="1" priority="2" stopIfTrue="1" operator="greaterThan">
      <formula>5.9999999999</formula>
    </cfRule>
    <cfRule type="cellIs" dxfId="0" priority="3" operator="between">
      <formula>0.1</formula>
      <formula>5.999</formula>
    </cfRule>
  </conditionalFormatting>
  <dataValidations count="1">
    <dataValidation type="list" allowBlank="1" showInputMessage="1" showErrorMessage="1" sqref="N9:O42 T9:U28 T30:U31 J9:K42">
      <formula1>"Yes,No"</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J49"/>
  <sheetViews>
    <sheetView topLeftCell="A4" workbookViewId="0">
      <selection activeCell="L25" sqref="L25"/>
    </sheetView>
  </sheetViews>
  <sheetFormatPr defaultRowHeight="14.4"/>
  <cols>
    <col min="1" max="1" width="18.109375" customWidth="1"/>
    <col min="2" max="2" width="21.33203125" customWidth="1"/>
    <col min="3" max="3" width="11.88671875" bestFit="1" customWidth="1"/>
    <col min="4" max="4" width="11" customWidth="1"/>
    <col min="5" max="5" width="20" customWidth="1"/>
    <col min="6" max="6" width="17.6640625" customWidth="1"/>
    <col min="7" max="8" width="19.44140625" customWidth="1"/>
    <col min="9" max="9" width="10.6640625" bestFit="1" customWidth="1"/>
  </cols>
  <sheetData>
    <row r="1" spans="1:8" ht="21">
      <c r="A1" s="32"/>
      <c r="B1" s="707" t="s">
        <v>41</v>
      </c>
      <c r="C1" s="707"/>
      <c r="D1" s="707"/>
      <c r="E1" s="707"/>
      <c r="F1" s="707"/>
      <c r="G1" s="707"/>
      <c r="H1" s="32"/>
    </row>
    <row r="2" spans="1:8" ht="21">
      <c r="A2" s="32"/>
      <c r="B2" s="33" t="s">
        <v>42</v>
      </c>
      <c r="C2" s="736" t="s">
        <v>72</v>
      </c>
      <c r="D2" s="736"/>
      <c r="E2" s="32"/>
      <c r="F2" s="88"/>
      <c r="G2" s="32"/>
      <c r="H2" s="32"/>
    </row>
    <row r="3" spans="1:8" ht="21">
      <c r="A3" s="32"/>
      <c r="B3" s="32"/>
      <c r="C3" s="32"/>
      <c r="D3" s="32"/>
      <c r="E3" s="32"/>
      <c r="F3" s="32"/>
      <c r="G3" s="32"/>
      <c r="H3" s="32"/>
    </row>
    <row r="4" spans="1:8" ht="21.6" thickBot="1">
      <c r="A4" s="32"/>
      <c r="B4" s="34">
        <v>45968</v>
      </c>
      <c r="C4" s="34">
        <v>45969</v>
      </c>
      <c r="D4" s="34">
        <v>45970</v>
      </c>
      <c r="E4" s="34">
        <v>45971</v>
      </c>
      <c r="F4" s="34">
        <v>45972</v>
      </c>
      <c r="G4" s="34">
        <v>45973</v>
      </c>
      <c r="H4" s="34">
        <v>45974</v>
      </c>
    </row>
    <row r="5" spans="1:8" ht="42.75" customHeight="1" thickBot="1">
      <c r="A5" s="35" t="s">
        <v>43</v>
      </c>
      <c r="B5" s="36" t="s">
        <v>48</v>
      </c>
      <c r="C5" s="36" t="s">
        <v>49</v>
      </c>
      <c r="D5" s="36" t="s">
        <v>50</v>
      </c>
      <c r="E5" s="36" t="s">
        <v>44</v>
      </c>
      <c r="F5" s="36" t="s">
        <v>45</v>
      </c>
      <c r="G5" s="36" t="s">
        <v>46</v>
      </c>
      <c r="H5" s="36" t="s">
        <v>47</v>
      </c>
    </row>
    <row r="6" spans="1:8" ht="21">
      <c r="A6" s="737" t="s">
        <v>25</v>
      </c>
      <c r="B6" s="91"/>
      <c r="C6" s="72"/>
      <c r="D6" s="72"/>
      <c r="E6" s="54"/>
      <c r="F6" s="54"/>
      <c r="G6" s="54"/>
      <c r="H6" s="54"/>
    </row>
    <row r="7" spans="1:8" ht="19.95" customHeight="1" thickBot="1">
      <c r="A7" s="738"/>
      <c r="B7" s="92"/>
      <c r="C7" s="73"/>
      <c r="D7" s="73"/>
      <c r="E7" s="38"/>
      <c r="F7" s="38"/>
      <c r="G7" s="38"/>
      <c r="H7" s="38"/>
    </row>
    <row r="8" spans="1:8" ht="18" customHeight="1">
      <c r="A8" s="731" t="s">
        <v>26</v>
      </c>
      <c r="B8" s="93"/>
      <c r="C8" s="74"/>
      <c r="D8" s="74"/>
      <c r="E8" s="84"/>
      <c r="F8" s="84"/>
      <c r="G8" s="84"/>
      <c r="H8" s="84"/>
    </row>
    <row r="9" spans="1:8" ht="19.2" customHeight="1" thickBot="1">
      <c r="A9" s="732"/>
      <c r="B9" s="94"/>
      <c r="C9" s="75"/>
      <c r="D9" s="75"/>
      <c r="E9" s="38"/>
      <c r="F9" s="38"/>
      <c r="G9" s="38"/>
      <c r="H9" s="38"/>
    </row>
    <row r="10" spans="1:8" ht="21">
      <c r="A10" s="737" t="s">
        <v>23</v>
      </c>
      <c r="B10" s="93"/>
      <c r="C10" s="74"/>
      <c r="D10" s="76"/>
      <c r="E10" s="84"/>
      <c r="F10" s="53"/>
      <c r="G10" s="53"/>
      <c r="H10" s="53"/>
    </row>
    <row r="11" spans="1:8" ht="21.6" thickBot="1">
      <c r="A11" s="738"/>
      <c r="B11" s="92"/>
      <c r="C11" s="73"/>
      <c r="D11" s="73"/>
      <c r="E11" s="38"/>
      <c r="F11" s="38"/>
      <c r="G11" s="38"/>
      <c r="H11" s="38"/>
    </row>
    <row r="12" spans="1:8" ht="21">
      <c r="A12" s="734" t="s">
        <v>24</v>
      </c>
      <c r="B12" s="93"/>
      <c r="C12" s="74"/>
      <c r="D12" s="74"/>
      <c r="E12" s="57"/>
      <c r="F12" s="57"/>
      <c r="G12" s="57"/>
      <c r="H12" s="57"/>
    </row>
    <row r="13" spans="1:8" ht="21.6" thickBot="1">
      <c r="A13" s="735"/>
      <c r="B13" s="94"/>
      <c r="C13" s="75"/>
      <c r="D13" s="75"/>
      <c r="E13" s="55"/>
      <c r="F13" s="55"/>
      <c r="G13" s="55"/>
      <c r="H13" s="55"/>
    </row>
    <row r="14" spans="1:8" ht="21.6" hidden="1" customHeight="1" thickBot="1">
      <c r="A14" s="735"/>
      <c r="B14" s="93"/>
      <c r="C14" s="74"/>
      <c r="D14" s="76"/>
      <c r="E14" s="41"/>
      <c r="F14" s="41"/>
      <c r="G14" s="41"/>
      <c r="H14" s="41"/>
    </row>
    <row r="15" spans="1:8" ht="21.6" hidden="1" customHeight="1" thickBot="1">
      <c r="A15" s="735"/>
      <c r="B15" s="94"/>
      <c r="C15" s="75"/>
      <c r="D15" s="75"/>
      <c r="E15" s="41"/>
      <c r="F15" s="41"/>
      <c r="G15" s="41"/>
      <c r="H15" s="41"/>
    </row>
    <row r="16" spans="1:8" ht="21">
      <c r="A16" s="734" t="s">
        <v>27</v>
      </c>
      <c r="B16" s="96"/>
      <c r="C16" s="86"/>
      <c r="D16" s="74"/>
      <c r="E16" s="57"/>
      <c r="F16" s="57"/>
      <c r="G16" s="57"/>
      <c r="H16" s="57"/>
    </row>
    <row r="17" spans="1:10" ht="21.6" thickBot="1">
      <c r="A17" s="735"/>
      <c r="B17" s="97"/>
      <c r="C17" s="87"/>
      <c r="D17" s="75"/>
      <c r="E17" s="48"/>
      <c r="F17" s="48"/>
      <c r="G17" s="48"/>
      <c r="H17" s="48"/>
    </row>
    <row r="18" spans="1:10" ht="21">
      <c r="A18" s="731" t="s">
        <v>51</v>
      </c>
      <c r="B18" s="93"/>
      <c r="C18" s="74"/>
      <c r="D18" s="74"/>
      <c r="E18" s="84"/>
      <c r="F18" s="84"/>
      <c r="G18" s="84"/>
      <c r="H18" s="84"/>
    </row>
    <row r="19" spans="1:10" ht="21.6" thickBot="1">
      <c r="A19" s="732"/>
      <c r="B19" s="92"/>
      <c r="C19" s="73"/>
      <c r="D19" s="73"/>
      <c r="E19" s="85"/>
      <c r="F19" s="85"/>
      <c r="G19" s="85"/>
      <c r="H19" s="85"/>
    </row>
    <row r="20" spans="1:10" ht="21">
      <c r="A20" s="731" t="s">
        <v>52</v>
      </c>
      <c r="B20" s="93"/>
      <c r="C20" s="74"/>
      <c r="D20" s="74"/>
      <c r="E20" s="58"/>
      <c r="F20" s="58"/>
      <c r="G20" s="66"/>
      <c r="H20" s="46"/>
    </row>
    <row r="21" spans="1:10" ht="21">
      <c r="A21" s="732"/>
      <c r="B21" s="98"/>
      <c r="C21" s="78"/>
      <c r="D21" s="78"/>
      <c r="E21" s="59"/>
      <c r="F21" s="59"/>
      <c r="G21" s="47"/>
      <c r="H21" s="47"/>
    </row>
    <row r="22" spans="1:10" ht="21.6" thickBot="1">
      <c r="A22" s="732"/>
      <c r="B22" s="99"/>
      <c r="C22" s="79"/>
      <c r="D22" s="79"/>
      <c r="E22" s="60"/>
      <c r="F22" s="60"/>
      <c r="G22" s="45"/>
      <c r="H22" s="45"/>
    </row>
    <row r="23" spans="1:10" ht="21">
      <c r="A23" s="731" t="s">
        <v>61</v>
      </c>
      <c r="B23" s="93"/>
      <c r="C23" s="74"/>
      <c r="D23" s="74"/>
      <c r="E23" s="57"/>
      <c r="F23" s="57"/>
      <c r="G23" s="66"/>
      <c r="H23" s="37"/>
    </row>
    <row r="24" spans="1:10" ht="21">
      <c r="A24" s="732"/>
      <c r="B24" s="94"/>
      <c r="C24" s="75"/>
      <c r="D24" s="73"/>
      <c r="E24" s="55"/>
      <c r="F24" s="55"/>
      <c r="G24" s="39"/>
      <c r="H24" s="39"/>
    </row>
    <row r="25" spans="1:10" ht="21.6" thickBot="1">
      <c r="A25" s="733"/>
      <c r="B25" s="95"/>
      <c r="C25" s="77"/>
      <c r="D25" s="77"/>
      <c r="E25" s="56"/>
      <c r="F25" s="56"/>
      <c r="G25" s="42"/>
      <c r="H25" s="42"/>
    </row>
    <row r="26" spans="1:10" ht="21">
      <c r="A26" s="731" t="s">
        <v>53</v>
      </c>
      <c r="B26" s="91"/>
      <c r="C26" s="72"/>
      <c r="D26" s="72"/>
      <c r="E26" s="57"/>
      <c r="F26" s="57"/>
      <c r="G26" s="39"/>
      <c r="H26" s="39"/>
    </row>
    <row r="27" spans="1:10" ht="21">
      <c r="A27" s="732"/>
      <c r="B27" s="100"/>
      <c r="C27" s="80"/>
      <c r="D27" s="80"/>
      <c r="E27" s="55"/>
      <c r="F27" s="55"/>
      <c r="G27" s="43"/>
      <c r="H27" s="43"/>
      <c r="I27" t="s">
        <v>54</v>
      </c>
    </row>
    <row r="28" spans="1:10" ht="21">
      <c r="A28" s="732"/>
      <c r="B28" s="100"/>
      <c r="C28" s="80"/>
      <c r="D28" s="80"/>
      <c r="E28" s="54"/>
      <c r="F28" s="54"/>
      <c r="G28" s="43"/>
      <c r="H28" s="43"/>
      <c r="J28" t="s">
        <v>54</v>
      </c>
    </row>
    <row r="29" spans="1:10" ht="21">
      <c r="A29" s="732"/>
      <c r="B29" s="100"/>
      <c r="C29" s="80"/>
      <c r="D29" s="80"/>
      <c r="E29" s="55"/>
      <c r="F29" s="55"/>
      <c r="G29" s="43"/>
      <c r="H29" s="43"/>
    </row>
    <row r="30" spans="1:10" ht="21">
      <c r="A30" s="44"/>
      <c r="B30" s="49"/>
      <c r="C30" s="50"/>
      <c r="D30" s="50"/>
      <c r="E30" s="50"/>
      <c r="F30" s="50"/>
      <c r="G30" s="51"/>
      <c r="H30" s="51"/>
    </row>
    <row r="31" spans="1:10" ht="21">
      <c r="A31" s="44"/>
      <c r="B31" s="49"/>
      <c r="C31" s="50"/>
      <c r="D31" s="50"/>
      <c r="E31" s="50"/>
      <c r="F31" s="50"/>
      <c r="G31" s="51"/>
      <c r="H31" s="51"/>
    </row>
    <row r="32" spans="1:10" ht="21">
      <c r="A32" s="32"/>
      <c r="B32" s="32"/>
      <c r="C32" s="32"/>
      <c r="D32" s="32"/>
      <c r="E32" s="32"/>
      <c r="F32" s="32"/>
      <c r="G32" s="32"/>
      <c r="H32" s="32"/>
    </row>
    <row r="33" spans="1:8" ht="21.6" thickBot="1">
      <c r="A33" s="32" t="s">
        <v>55</v>
      </c>
      <c r="B33" s="40"/>
      <c r="C33" s="40"/>
      <c r="D33" s="32"/>
      <c r="E33" s="32" t="s">
        <v>56</v>
      </c>
      <c r="F33" s="40"/>
      <c r="G33" s="40"/>
      <c r="H33" s="32"/>
    </row>
    <row r="34" spans="1:8" ht="21">
      <c r="A34" s="32"/>
      <c r="B34" s="32"/>
      <c r="C34" s="32"/>
      <c r="D34" s="32"/>
      <c r="E34" s="32"/>
      <c r="F34" s="32"/>
      <c r="G34" s="32"/>
      <c r="H34" s="32"/>
    </row>
    <row r="35" spans="1:8" ht="21">
      <c r="A35" s="32"/>
      <c r="B35" s="32"/>
      <c r="C35" s="32"/>
      <c r="D35" s="32"/>
      <c r="E35" s="32"/>
      <c r="F35" s="32"/>
      <c r="G35" s="32"/>
      <c r="H35" s="32"/>
    </row>
    <row r="36" spans="1:8" ht="21.6" thickBot="1">
      <c r="A36" s="32" t="s">
        <v>57</v>
      </c>
      <c r="B36" s="40"/>
      <c r="C36" s="40"/>
      <c r="D36" s="32"/>
      <c r="E36" s="32" t="s">
        <v>58</v>
      </c>
      <c r="F36" s="40"/>
      <c r="G36" s="40"/>
      <c r="H36" s="32"/>
    </row>
    <row r="37" spans="1:8" ht="21">
      <c r="A37" s="32"/>
      <c r="B37" s="32"/>
      <c r="C37" s="32"/>
      <c r="D37" s="32"/>
      <c r="E37" s="32"/>
      <c r="F37" s="32"/>
      <c r="G37" s="32"/>
      <c r="H37" s="32"/>
    </row>
    <row r="38" spans="1:8" ht="21">
      <c r="A38" s="32"/>
      <c r="B38" s="32"/>
      <c r="C38" s="32"/>
      <c r="D38" s="32"/>
      <c r="E38" s="32"/>
      <c r="F38" s="32"/>
      <c r="G38" s="32"/>
      <c r="H38" s="32"/>
    </row>
    <row r="39" spans="1:8" ht="21.6" thickBot="1">
      <c r="A39" s="32" t="s">
        <v>59</v>
      </c>
      <c r="B39" s="40"/>
      <c r="C39" s="40"/>
      <c r="D39" s="32"/>
      <c r="E39" s="32" t="s">
        <v>60</v>
      </c>
      <c r="F39" s="40"/>
      <c r="G39" s="40"/>
      <c r="H39" s="32"/>
    </row>
    <row r="40" spans="1:8" ht="21">
      <c r="A40" s="32"/>
      <c r="B40" s="32"/>
      <c r="C40" s="32"/>
      <c r="D40" s="32"/>
      <c r="E40" s="32"/>
      <c r="F40" s="32"/>
      <c r="G40" s="32"/>
      <c r="H40" s="32"/>
    </row>
    <row r="41" spans="1:8" ht="15.6">
      <c r="A41" s="31"/>
      <c r="B41" s="52"/>
      <c r="C41" s="52"/>
      <c r="D41" s="52"/>
      <c r="E41" s="31"/>
      <c r="F41" s="31"/>
      <c r="G41" s="31"/>
      <c r="H41" s="31"/>
    </row>
    <row r="42" spans="1:8" ht="15.6">
      <c r="A42" s="31"/>
      <c r="B42" s="52"/>
      <c r="C42" s="52"/>
      <c r="D42" s="52"/>
      <c r="E42" s="31"/>
      <c r="F42" s="31"/>
      <c r="G42" s="31"/>
      <c r="H42" s="31"/>
    </row>
    <row r="43" spans="1:8" ht="15.6">
      <c r="A43" s="31"/>
      <c r="B43" s="52"/>
      <c r="C43" s="52"/>
      <c r="D43" s="52"/>
      <c r="E43" s="31"/>
      <c r="F43" s="31"/>
      <c r="G43" s="31"/>
      <c r="H43" s="31"/>
    </row>
    <row r="44" spans="1:8" ht="15.6">
      <c r="A44" s="31"/>
      <c r="B44" s="52"/>
      <c r="C44" s="52"/>
      <c r="D44" s="52"/>
      <c r="E44" s="31"/>
      <c r="F44" s="31"/>
      <c r="G44" s="31"/>
      <c r="H44" s="31"/>
    </row>
    <row r="45" spans="1:8" ht="15.6">
      <c r="A45" s="31"/>
      <c r="B45" s="52"/>
      <c r="C45" s="52"/>
      <c r="D45" s="52"/>
      <c r="E45" s="31"/>
      <c r="F45" s="31"/>
      <c r="G45" s="31"/>
      <c r="H45" s="31"/>
    </row>
    <row r="46" spans="1:8" ht="15.6">
      <c r="A46" s="31"/>
      <c r="B46" s="52"/>
      <c r="C46" s="52"/>
      <c r="D46" s="52"/>
      <c r="E46" s="31"/>
      <c r="F46" s="31"/>
      <c r="G46" s="31"/>
      <c r="H46" s="31"/>
    </row>
    <row r="47" spans="1:8" ht="15.6">
      <c r="A47" s="31"/>
      <c r="B47" s="52"/>
      <c r="C47" s="52"/>
      <c r="D47" s="52"/>
      <c r="E47" s="31"/>
      <c r="F47" s="31"/>
      <c r="G47" s="31"/>
      <c r="H47" s="31"/>
    </row>
    <row r="48" spans="1:8" ht="15.6">
      <c r="A48" s="31"/>
      <c r="B48" s="52"/>
      <c r="C48" s="52"/>
      <c r="D48" s="52"/>
      <c r="E48" s="31"/>
      <c r="F48" s="31"/>
      <c r="G48" s="31"/>
      <c r="H48" s="31"/>
    </row>
    <row r="49" spans="1:8" ht="15.6">
      <c r="A49" s="31"/>
      <c r="B49" s="52"/>
      <c r="C49" s="52"/>
      <c r="D49" s="52"/>
      <c r="E49" s="31"/>
      <c r="F49" s="31"/>
      <c r="G49" s="31"/>
      <c r="H49" s="31"/>
    </row>
  </sheetData>
  <mergeCells count="11">
    <mergeCell ref="B1:G1"/>
    <mergeCell ref="C2:D2"/>
    <mergeCell ref="A6:A7"/>
    <mergeCell ref="A8:A9"/>
    <mergeCell ref="A10:A11"/>
    <mergeCell ref="A23:A25"/>
    <mergeCell ref="A26:A29"/>
    <mergeCell ref="A12:A15"/>
    <mergeCell ref="A16:A17"/>
    <mergeCell ref="A18:A19"/>
    <mergeCell ref="A20:A2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2:A96"/>
  <sheetViews>
    <sheetView workbookViewId="0">
      <selection activeCell="P19" sqref="P19"/>
    </sheetView>
  </sheetViews>
  <sheetFormatPr defaultRowHeight="14.4"/>
  <cols>
    <col min="1" max="16384" width="8.88671875" style="90"/>
  </cols>
  <sheetData>
    <row r="12" ht="21" customHeight="1"/>
    <row r="96" ht="50.25" customHeight="1"/>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O112"/>
  <sheetViews>
    <sheetView topLeftCell="A73" workbookViewId="0">
      <selection activeCell="A77" sqref="A77:XFD86"/>
    </sheetView>
  </sheetViews>
  <sheetFormatPr defaultRowHeight="14.4"/>
  <cols>
    <col min="1" max="1" width="5" style="109" bestFit="1" customWidth="1"/>
    <col min="2" max="2" width="21.5546875" style="109" customWidth="1"/>
    <col min="3" max="3" width="44.109375" style="109" bestFit="1" customWidth="1"/>
    <col min="4" max="4" width="9" style="109" bestFit="1" customWidth="1"/>
    <col min="5" max="5" width="124.5546875" style="290" customWidth="1"/>
    <col min="6" max="6" width="18" style="109" customWidth="1"/>
    <col min="7" max="7" width="25.5546875" style="109" customWidth="1"/>
    <col min="8" max="8" width="30.6640625" style="109" customWidth="1"/>
    <col min="9" max="9" width="33.44140625" style="109" customWidth="1"/>
    <col min="10" max="10" width="12.5546875" style="109" customWidth="1"/>
    <col min="11" max="11" width="10.6640625" style="109" bestFit="1" customWidth="1"/>
    <col min="12" max="12" width="22.33203125" style="109" customWidth="1"/>
    <col min="13" max="16384" width="8.88671875" style="109"/>
  </cols>
  <sheetData>
    <row r="1" spans="1:67" ht="37.200000000000003" thickBot="1">
      <c r="A1" s="129"/>
      <c r="B1" s="130"/>
      <c r="C1" s="51" t="s">
        <v>90</v>
      </c>
      <c r="D1" s="130"/>
      <c r="E1" s="131"/>
      <c r="F1" s="132"/>
      <c r="G1" s="133"/>
      <c r="H1" s="130"/>
      <c r="I1" s="806"/>
      <c r="J1" s="806"/>
      <c r="K1" s="806"/>
      <c r="L1" s="806"/>
      <c r="M1" s="130"/>
      <c r="N1" s="130"/>
      <c r="O1" s="130"/>
    </row>
    <row r="2" spans="1:67" ht="15" thickBot="1">
      <c r="A2" s="134" t="s">
        <v>91</v>
      </c>
      <c r="B2" s="529" t="s">
        <v>92</v>
      </c>
      <c r="C2" s="529" t="s">
        <v>486</v>
      </c>
      <c r="D2" s="529" t="s">
        <v>93</v>
      </c>
      <c r="E2" s="530" t="s">
        <v>94</v>
      </c>
      <c r="F2" s="529" t="s">
        <v>95</v>
      </c>
      <c r="G2" s="135" t="s">
        <v>96</v>
      </c>
      <c r="H2" s="531"/>
      <c r="I2" s="136" t="s">
        <v>97</v>
      </c>
      <c r="J2" s="137" t="s">
        <v>98</v>
      </c>
      <c r="K2" s="137" t="s">
        <v>94</v>
      </c>
      <c r="L2" s="138" t="s">
        <v>99</v>
      </c>
      <c r="M2" s="130"/>
      <c r="N2" s="130"/>
      <c r="O2" s="130"/>
    </row>
    <row r="3" spans="1:67" ht="21" customHeight="1" thickBot="1">
      <c r="A3" s="532"/>
      <c r="B3" s="807" t="s">
        <v>100</v>
      </c>
      <c r="C3" s="808"/>
      <c r="D3" s="808"/>
      <c r="E3" s="809"/>
      <c r="F3" s="533"/>
      <c r="G3" s="534"/>
      <c r="H3" s="535"/>
      <c r="I3" s="140" t="s">
        <v>101</v>
      </c>
      <c r="J3" s="141">
        <v>13</v>
      </c>
      <c r="K3" s="141">
        <v>2</v>
      </c>
      <c r="L3" s="142">
        <f>((J3-K3)/J3)</f>
        <v>0.84615384615384615</v>
      </c>
      <c r="M3" s="130"/>
      <c r="N3" s="130"/>
      <c r="O3" s="130"/>
    </row>
    <row r="4" spans="1:67" s="101" customFormat="1">
      <c r="A4" s="143">
        <v>2</v>
      </c>
      <c r="B4" s="536" t="s">
        <v>102</v>
      </c>
      <c r="C4" s="537" t="s">
        <v>103</v>
      </c>
      <c r="D4" s="538" t="s">
        <v>104</v>
      </c>
      <c r="E4" s="539"/>
      <c r="F4" s="144" t="s">
        <v>105</v>
      </c>
      <c r="G4" s="534"/>
      <c r="H4" s="540"/>
      <c r="I4" s="145" t="s">
        <v>106</v>
      </c>
      <c r="J4" s="146">
        <v>4</v>
      </c>
      <c r="K4" s="146">
        <v>1</v>
      </c>
      <c r="L4" s="147">
        <f t="shared" ref="L4:L14" si="0">((J4-K4)/J4)</f>
        <v>0.75</v>
      </c>
      <c r="M4" s="130"/>
      <c r="N4" s="130"/>
      <c r="O4" s="130"/>
      <c r="P4" s="109"/>
      <c r="Q4" s="109"/>
      <c r="R4" s="109"/>
      <c r="S4" s="109"/>
      <c r="T4" s="109"/>
      <c r="U4" s="109"/>
      <c r="V4" s="109"/>
      <c r="W4" s="109"/>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row>
    <row r="5" spans="1:67" s="101" customFormat="1" ht="16.5" customHeight="1">
      <c r="A5" s="143">
        <v>3</v>
      </c>
      <c r="B5" s="148" t="s">
        <v>102</v>
      </c>
      <c r="C5" s="149" t="s">
        <v>103</v>
      </c>
      <c r="D5" s="150" t="s">
        <v>107</v>
      </c>
      <c r="E5" s="539"/>
      <c r="F5" s="144" t="s">
        <v>105</v>
      </c>
      <c r="G5" s="534"/>
      <c r="H5" s="139"/>
      <c r="I5" s="151" t="s">
        <v>103</v>
      </c>
      <c r="J5" s="146">
        <v>6</v>
      </c>
      <c r="K5" s="146">
        <v>1</v>
      </c>
      <c r="L5" s="147">
        <f t="shared" si="0"/>
        <v>0.83333333333333337</v>
      </c>
      <c r="M5" s="130"/>
      <c r="N5" s="130"/>
      <c r="O5" s="130"/>
      <c r="P5" s="109"/>
      <c r="Q5" s="109"/>
      <c r="R5" s="109"/>
      <c r="S5" s="109"/>
      <c r="T5" s="109"/>
      <c r="U5" s="109"/>
      <c r="V5" s="109"/>
      <c r="W5" s="109"/>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115"/>
      <c r="AZ5" s="115"/>
      <c r="BA5" s="115"/>
      <c r="BB5" s="115"/>
      <c r="BC5" s="115"/>
      <c r="BD5" s="115"/>
      <c r="BE5" s="115"/>
      <c r="BF5" s="115"/>
      <c r="BG5" s="115"/>
      <c r="BH5" s="115"/>
      <c r="BI5" s="115"/>
      <c r="BJ5" s="115"/>
      <c r="BK5" s="115"/>
      <c r="BL5" s="115"/>
      <c r="BM5" s="115"/>
      <c r="BN5" s="115"/>
      <c r="BO5" s="115"/>
    </row>
    <row r="6" spans="1:67" ht="24.75" customHeight="1">
      <c r="A6" s="152">
        <v>4</v>
      </c>
      <c r="B6" s="148" t="s">
        <v>108</v>
      </c>
      <c r="C6" s="153" t="s">
        <v>103</v>
      </c>
      <c r="D6" s="154" t="s">
        <v>109</v>
      </c>
      <c r="E6" s="541" t="s">
        <v>487</v>
      </c>
      <c r="F6" s="158" t="s">
        <v>112</v>
      </c>
      <c r="G6" s="534"/>
      <c r="H6" s="139"/>
      <c r="I6" s="155" t="s">
        <v>110</v>
      </c>
      <c r="J6" s="156">
        <v>1</v>
      </c>
      <c r="K6" s="156">
        <v>0</v>
      </c>
      <c r="L6" s="157">
        <f t="shared" si="0"/>
        <v>1</v>
      </c>
      <c r="M6" s="130"/>
      <c r="N6" s="130"/>
      <c r="O6" s="130"/>
    </row>
    <row r="7" spans="1:67" ht="19.5" customHeight="1">
      <c r="A7" s="152">
        <v>5</v>
      </c>
      <c r="B7" s="148" t="s">
        <v>102</v>
      </c>
      <c r="C7" s="153" t="s">
        <v>103</v>
      </c>
      <c r="D7" s="154" t="s">
        <v>111</v>
      </c>
      <c r="E7" s="542"/>
      <c r="F7" s="543" t="s">
        <v>129</v>
      </c>
      <c r="G7" s="534"/>
      <c r="H7" s="139"/>
      <c r="I7" s="159" t="s">
        <v>113</v>
      </c>
      <c r="J7" s="160">
        <v>3</v>
      </c>
      <c r="K7" s="160">
        <v>0</v>
      </c>
      <c r="L7" s="161">
        <f t="shared" si="0"/>
        <v>1</v>
      </c>
      <c r="M7" s="130"/>
      <c r="N7" s="130"/>
      <c r="O7" s="130"/>
    </row>
    <row r="8" spans="1:67">
      <c r="A8" s="152">
        <v>6</v>
      </c>
      <c r="B8" s="148" t="s">
        <v>102</v>
      </c>
      <c r="C8" s="162" t="s">
        <v>114</v>
      </c>
      <c r="D8" s="154" t="s">
        <v>115</v>
      </c>
      <c r="E8" s="163"/>
      <c r="F8" s="144" t="s">
        <v>105</v>
      </c>
      <c r="G8" s="534"/>
      <c r="H8" s="139"/>
      <c r="I8" s="164" t="s">
        <v>116</v>
      </c>
      <c r="J8" s="165">
        <v>1</v>
      </c>
      <c r="K8" s="165">
        <v>0</v>
      </c>
      <c r="L8" s="166">
        <f t="shared" si="0"/>
        <v>1</v>
      </c>
      <c r="M8" s="130"/>
      <c r="N8" s="130"/>
      <c r="O8" s="130"/>
    </row>
    <row r="9" spans="1:67" ht="17.25" customHeight="1">
      <c r="A9" s="152">
        <v>7</v>
      </c>
      <c r="B9" s="167" t="s">
        <v>102</v>
      </c>
      <c r="C9" s="168" t="s">
        <v>103</v>
      </c>
      <c r="D9" s="169" t="s">
        <v>117</v>
      </c>
      <c r="E9" s="163"/>
      <c r="F9" s="144" t="s">
        <v>105</v>
      </c>
      <c r="G9" s="544"/>
      <c r="H9" s="139"/>
      <c r="I9" s="170" t="s">
        <v>118</v>
      </c>
      <c r="J9" s="171">
        <v>3</v>
      </c>
      <c r="K9" s="171">
        <v>1</v>
      </c>
      <c r="L9" s="172">
        <f t="shared" si="0"/>
        <v>0.66666666666666663</v>
      </c>
      <c r="M9" s="130"/>
      <c r="N9" s="130"/>
      <c r="O9" s="130"/>
    </row>
    <row r="10" spans="1:67" ht="16.5" customHeight="1" thickBot="1">
      <c r="A10" s="152">
        <v>8</v>
      </c>
      <c r="B10" s="545" t="s">
        <v>102</v>
      </c>
      <c r="C10" s="546" t="s">
        <v>103</v>
      </c>
      <c r="D10" s="242" t="s">
        <v>119</v>
      </c>
      <c r="E10" s="547" t="s">
        <v>488</v>
      </c>
      <c r="F10" s="158" t="s">
        <v>112</v>
      </c>
      <c r="G10" s="173"/>
      <c r="H10" s="139"/>
      <c r="I10" s="170" t="s">
        <v>120</v>
      </c>
      <c r="J10" s="171">
        <v>8</v>
      </c>
      <c r="K10" s="171">
        <v>0</v>
      </c>
      <c r="L10" s="172">
        <f t="shared" si="0"/>
        <v>1</v>
      </c>
      <c r="M10" s="130"/>
      <c r="N10" s="130"/>
      <c r="O10" s="130"/>
    </row>
    <row r="11" spans="1:67" ht="27" customHeight="1" thickBot="1">
      <c r="A11" s="152"/>
      <c r="B11" s="769" t="s">
        <v>121</v>
      </c>
      <c r="C11" s="770"/>
      <c r="D11" s="770"/>
      <c r="E11" s="771"/>
      <c r="F11" s="548"/>
      <c r="G11" s="549"/>
      <c r="H11" s="550"/>
      <c r="I11" s="174" t="s">
        <v>122</v>
      </c>
      <c r="J11" s="171">
        <v>1</v>
      </c>
      <c r="K11" s="171">
        <v>0</v>
      </c>
      <c r="L11" s="172">
        <f t="shared" si="0"/>
        <v>1</v>
      </c>
      <c r="M11" s="130"/>
      <c r="N11" s="130"/>
      <c r="O11" s="130"/>
    </row>
    <row r="12" spans="1:67" ht="24" customHeight="1">
      <c r="A12" s="152">
        <v>10</v>
      </c>
      <c r="B12" s="551" t="s">
        <v>123</v>
      </c>
      <c r="C12" s="552" t="s">
        <v>124</v>
      </c>
      <c r="D12" s="553" t="s">
        <v>125</v>
      </c>
      <c r="E12" s="542"/>
      <c r="F12" s="543" t="s">
        <v>129</v>
      </c>
      <c r="G12" s="534"/>
      <c r="H12" s="139"/>
      <c r="I12" s="159" t="s">
        <v>126</v>
      </c>
      <c r="J12" s="175">
        <v>2</v>
      </c>
      <c r="K12" s="175">
        <v>1</v>
      </c>
      <c r="L12" s="172">
        <f t="shared" si="0"/>
        <v>0.5</v>
      </c>
      <c r="M12" s="130"/>
      <c r="N12" s="130"/>
      <c r="O12" s="130"/>
    </row>
    <row r="13" spans="1:67" ht="18" customHeight="1">
      <c r="A13" s="152">
        <v>11</v>
      </c>
      <c r="B13" s="144" t="s">
        <v>127</v>
      </c>
      <c r="C13" s="176" t="s">
        <v>124</v>
      </c>
      <c r="D13" s="154" t="s">
        <v>128</v>
      </c>
      <c r="E13" s="542"/>
      <c r="F13" s="543" t="s">
        <v>129</v>
      </c>
      <c r="G13" s="534"/>
      <c r="H13" s="139"/>
      <c r="I13" s="170" t="s">
        <v>130</v>
      </c>
      <c r="J13" s="171">
        <v>36</v>
      </c>
      <c r="K13" s="171">
        <v>2</v>
      </c>
      <c r="L13" s="172">
        <f t="shared" si="0"/>
        <v>0.94444444444444442</v>
      </c>
      <c r="M13" s="130"/>
      <c r="N13" s="130"/>
      <c r="O13" s="130"/>
    </row>
    <row r="14" spans="1:67" ht="67.5" customHeight="1" thickBot="1">
      <c r="A14" s="152">
        <v>12</v>
      </c>
      <c r="B14" s="144" t="s">
        <v>131</v>
      </c>
      <c r="C14" s="177" t="s">
        <v>113</v>
      </c>
      <c r="D14" s="154" t="s">
        <v>132</v>
      </c>
      <c r="E14" s="542"/>
      <c r="F14" s="543" t="s">
        <v>129</v>
      </c>
      <c r="G14" s="554"/>
      <c r="H14" s="139"/>
      <c r="I14" s="159"/>
      <c r="J14" s="178">
        <f>SUM(J2:J13)</f>
        <v>78</v>
      </c>
      <c r="K14" s="179">
        <f>SUM(K2:K13)</f>
        <v>8</v>
      </c>
      <c r="L14" s="180">
        <f t="shared" si="0"/>
        <v>0.89743589743589747</v>
      </c>
      <c r="M14" s="130"/>
      <c r="N14" s="130"/>
      <c r="O14" s="130"/>
    </row>
    <row r="15" spans="1:67" ht="37.5" customHeight="1">
      <c r="A15" s="152">
        <v>13</v>
      </c>
      <c r="B15" s="144" t="s">
        <v>133</v>
      </c>
      <c r="C15" s="177" t="s">
        <v>113</v>
      </c>
      <c r="D15" s="154" t="s">
        <v>134</v>
      </c>
      <c r="E15" s="555" t="s">
        <v>489</v>
      </c>
      <c r="F15" s="158" t="s">
        <v>112</v>
      </c>
      <c r="G15" s="556"/>
      <c r="H15" s="181" t="s">
        <v>490</v>
      </c>
      <c r="I15" s="159"/>
      <c r="J15" s="160"/>
      <c r="K15" s="160"/>
      <c r="L15" s="161"/>
      <c r="M15" s="130"/>
      <c r="N15" s="130"/>
      <c r="O15" s="130"/>
    </row>
    <row r="16" spans="1:67" ht="15" thickBot="1">
      <c r="A16" s="152">
        <v>14</v>
      </c>
      <c r="B16" s="144" t="s">
        <v>135</v>
      </c>
      <c r="C16" s="177" t="s">
        <v>113</v>
      </c>
      <c r="D16" s="154" t="s">
        <v>136</v>
      </c>
      <c r="E16" s="182"/>
      <c r="F16" s="557" t="s">
        <v>129</v>
      </c>
      <c r="G16" s="558"/>
      <c r="H16" s="183"/>
      <c r="I16" s="184"/>
      <c r="J16" s="178"/>
      <c r="K16" s="179"/>
      <c r="L16" s="180"/>
      <c r="M16" s="130"/>
      <c r="N16" s="130"/>
      <c r="O16" s="130"/>
    </row>
    <row r="17" spans="1:15" ht="15" thickBot="1">
      <c r="A17" s="152">
        <v>15</v>
      </c>
      <c r="B17" s="185" t="s">
        <v>137</v>
      </c>
      <c r="C17" s="186" t="s">
        <v>116</v>
      </c>
      <c r="D17" s="187" t="s">
        <v>138</v>
      </c>
      <c r="E17" s="182"/>
      <c r="F17" s="557" t="s">
        <v>129</v>
      </c>
      <c r="G17" s="556"/>
      <c r="H17" s="183"/>
      <c r="I17" s="550"/>
      <c r="J17" s="559"/>
      <c r="K17" s="559"/>
      <c r="L17" s="188"/>
      <c r="M17" s="130"/>
      <c r="N17" s="130"/>
      <c r="O17" s="130"/>
    </row>
    <row r="18" spans="1:15" ht="21" customHeight="1" thickBot="1">
      <c r="A18" s="152"/>
      <c r="B18" s="769" t="s">
        <v>139</v>
      </c>
      <c r="C18" s="770"/>
      <c r="D18" s="770"/>
      <c r="E18" s="771"/>
      <c r="F18" s="560"/>
      <c r="G18" s="549"/>
      <c r="H18" s="550"/>
      <c r="I18" s="189"/>
      <c r="J18" s="190"/>
      <c r="K18" s="190"/>
      <c r="L18" s="191"/>
      <c r="M18" s="130"/>
      <c r="N18" s="130"/>
      <c r="O18" s="130"/>
    </row>
    <row r="19" spans="1:15" ht="0.75" customHeight="1">
      <c r="A19" s="173">
        <v>17</v>
      </c>
      <c r="B19" s="561"/>
      <c r="C19" s="562"/>
      <c r="D19" s="563" t="s">
        <v>140</v>
      </c>
      <c r="E19" s="564"/>
      <c r="F19" s="565"/>
      <c r="G19" s="549"/>
      <c r="H19" s="550"/>
      <c r="I19" s="559"/>
      <c r="J19" s="559"/>
      <c r="K19" s="559"/>
      <c r="L19" s="559"/>
      <c r="M19" s="130"/>
      <c r="N19" s="130"/>
      <c r="O19" s="130"/>
    </row>
    <row r="20" spans="1:15">
      <c r="A20" s="173">
        <v>18</v>
      </c>
      <c r="B20" s="192" t="s">
        <v>141</v>
      </c>
      <c r="C20" s="193" t="s">
        <v>101</v>
      </c>
      <c r="D20" s="194" t="s">
        <v>142</v>
      </c>
      <c r="E20" s="163"/>
      <c r="F20" s="144" t="s">
        <v>105</v>
      </c>
      <c r="G20" s="566"/>
      <c r="H20" s="183"/>
      <c r="I20" s="173"/>
      <c r="J20" s="173"/>
      <c r="K20" s="173"/>
      <c r="L20" s="173"/>
      <c r="M20" s="130"/>
      <c r="N20" s="130"/>
      <c r="O20" s="130"/>
    </row>
    <row r="21" spans="1:15" ht="24" customHeight="1">
      <c r="A21" s="173">
        <v>19</v>
      </c>
      <c r="B21" s="195" t="s">
        <v>123</v>
      </c>
      <c r="C21" s="196" t="s">
        <v>101</v>
      </c>
      <c r="D21" s="144" t="s">
        <v>143</v>
      </c>
      <c r="E21" s="163"/>
      <c r="F21" s="144" t="s">
        <v>105</v>
      </c>
      <c r="G21" s="566"/>
      <c r="H21" s="173"/>
      <c r="I21" s="197"/>
      <c r="J21" s="173"/>
      <c r="K21" s="173"/>
      <c r="L21" s="173"/>
      <c r="M21" s="130"/>
      <c r="N21" s="130"/>
      <c r="O21" s="130"/>
    </row>
    <row r="22" spans="1:15" ht="16.5" customHeight="1" thickBot="1">
      <c r="A22" s="173">
        <v>20</v>
      </c>
      <c r="B22" s="198" t="s">
        <v>144</v>
      </c>
      <c r="C22" s="193" t="s">
        <v>101</v>
      </c>
      <c r="D22" s="199" t="s">
        <v>145</v>
      </c>
      <c r="E22" s="163"/>
      <c r="F22" s="144" t="s">
        <v>105</v>
      </c>
      <c r="G22" s="566"/>
      <c r="H22" s="200"/>
      <c r="I22" s="200"/>
      <c r="J22" s="200"/>
      <c r="K22" s="200"/>
      <c r="L22" s="200"/>
      <c r="M22" s="130"/>
      <c r="N22" s="130"/>
      <c r="O22" s="130"/>
    </row>
    <row r="23" spans="1:15" ht="16.2" thickBot="1">
      <c r="A23" s="173">
        <v>21</v>
      </c>
      <c r="B23" s="192" t="s">
        <v>146</v>
      </c>
      <c r="C23" s="193" t="s">
        <v>101</v>
      </c>
      <c r="D23" s="154" t="s">
        <v>147</v>
      </c>
      <c r="E23" s="163"/>
      <c r="F23" s="144" t="s">
        <v>105</v>
      </c>
      <c r="G23" s="567"/>
      <c r="H23" s="810" t="s">
        <v>148</v>
      </c>
      <c r="I23" s="811"/>
      <c r="J23" s="811"/>
      <c r="K23" s="812"/>
      <c r="L23" s="813"/>
      <c r="M23" s="130"/>
      <c r="N23" s="130"/>
      <c r="O23" s="130"/>
    </row>
    <row r="24" spans="1:15" ht="15" customHeight="1">
      <c r="A24" s="173">
        <v>22</v>
      </c>
      <c r="B24" s="201" t="s">
        <v>149</v>
      </c>
      <c r="C24" s="202" t="s">
        <v>101</v>
      </c>
      <c r="D24" s="150" t="s">
        <v>150</v>
      </c>
      <c r="E24" s="163"/>
      <c r="F24" s="144" t="s">
        <v>105</v>
      </c>
      <c r="G24" s="568"/>
      <c r="H24" s="203" t="s">
        <v>151</v>
      </c>
      <c r="I24" s="204" t="s">
        <v>491</v>
      </c>
      <c r="J24" s="205"/>
      <c r="K24" s="803"/>
      <c r="L24" s="805"/>
      <c r="M24" s="130"/>
      <c r="N24" s="130"/>
      <c r="O24" s="130"/>
    </row>
    <row r="25" spans="1:15">
      <c r="A25" s="173">
        <v>23</v>
      </c>
      <c r="B25" s="198" t="s">
        <v>152</v>
      </c>
      <c r="C25" s="193" t="s">
        <v>101</v>
      </c>
      <c r="D25" s="154" t="s">
        <v>153</v>
      </c>
      <c r="E25" s="182"/>
      <c r="F25" s="557" t="s">
        <v>129</v>
      </c>
      <c r="G25" s="569"/>
      <c r="H25" s="206" t="s">
        <v>154</v>
      </c>
      <c r="I25" s="207" t="s">
        <v>491</v>
      </c>
      <c r="J25" s="208"/>
      <c r="K25" s="789"/>
      <c r="L25" s="790"/>
      <c r="M25" s="130"/>
      <c r="N25" s="130"/>
      <c r="O25" s="130"/>
    </row>
    <row r="26" spans="1:15" ht="18" customHeight="1">
      <c r="A26" s="209">
        <v>24</v>
      </c>
      <c r="B26" s="210" t="s">
        <v>146</v>
      </c>
      <c r="C26" s="193" t="s">
        <v>101</v>
      </c>
      <c r="D26" s="154" t="s">
        <v>155</v>
      </c>
      <c r="E26" s="547" t="s">
        <v>492</v>
      </c>
      <c r="F26" s="158" t="s">
        <v>112</v>
      </c>
      <c r="G26" s="570"/>
      <c r="H26" s="206" t="s">
        <v>156</v>
      </c>
      <c r="I26" s="571" t="s">
        <v>493</v>
      </c>
      <c r="J26" s="208"/>
      <c r="K26" s="791"/>
      <c r="L26" s="791"/>
      <c r="M26" s="130"/>
      <c r="N26" s="130"/>
      <c r="O26" s="130"/>
    </row>
    <row r="27" spans="1:15" ht="68.25" customHeight="1">
      <c r="A27" s="173">
        <v>25</v>
      </c>
      <c r="B27" s="210" t="s">
        <v>135</v>
      </c>
      <c r="C27" s="193" t="s">
        <v>101</v>
      </c>
      <c r="D27" s="154" t="s">
        <v>157</v>
      </c>
      <c r="E27" s="572" t="s">
        <v>494</v>
      </c>
      <c r="F27" s="573" t="s">
        <v>158</v>
      </c>
      <c r="G27" s="567"/>
      <c r="H27" s="206" t="s">
        <v>159</v>
      </c>
      <c r="I27" s="211" t="s">
        <v>495</v>
      </c>
      <c r="J27" s="208"/>
      <c r="K27" s="791"/>
      <c r="L27" s="791"/>
      <c r="M27" s="130"/>
      <c r="N27" s="130"/>
      <c r="O27" s="130"/>
    </row>
    <row r="28" spans="1:15" ht="57.75" customHeight="1">
      <c r="A28" s="209">
        <v>26</v>
      </c>
      <c r="B28" s="210" t="s">
        <v>160</v>
      </c>
      <c r="C28" s="193" t="s">
        <v>101</v>
      </c>
      <c r="D28" s="212" t="s">
        <v>161</v>
      </c>
      <c r="E28" s="163"/>
      <c r="F28" s="557" t="s">
        <v>129</v>
      </c>
      <c r="G28" s="213"/>
      <c r="H28" s="206" t="s">
        <v>162</v>
      </c>
      <c r="I28" s="574" t="s">
        <v>495</v>
      </c>
      <c r="J28" s="214"/>
      <c r="K28" s="792"/>
      <c r="L28" s="792"/>
      <c r="M28" s="130"/>
      <c r="N28" s="130"/>
      <c r="O28" s="130"/>
    </row>
    <row r="29" spans="1:15" ht="24.75" customHeight="1" thickBot="1">
      <c r="A29" s="215">
        <v>27</v>
      </c>
      <c r="B29" s="575" t="s">
        <v>163</v>
      </c>
      <c r="C29" s="193" t="s">
        <v>101</v>
      </c>
      <c r="D29" s="212" t="s">
        <v>164</v>
      </c>
      <c r="E29" s="576" t="s">
        <v>496</v>
      </c>
      <c r="F29" s="216" t="s">
        <v>112</v>
      </c>
      <c r="G29" s="213"/>
      <c r="H29" s="217" t="s">
        <v>165</v>
      </c>
      <c r="I29" s="218"/>
      <c r="J29" s="219"/>
      <c r="K29" s="793"/>
      <c r="L29" s="793"/>
      <c r="M29" s="130"/>
      <c r="N29" s="130"/>
      <c r="O29" s="130"/>
    </row>
    <row r="30" spans="1:15" ht="27.75" customHeight="1" thickBot="1">
      <c r="A30" s="173">
        <v>28</v>
      </c>
      <c r="B30" s="192" t="s">
        <v>135</v>
      </c>
      <c r="C30" s="220" t="s">
        <v>101</v>
      </c>
      <c r="D30" s="169" t="s">
        <v>166</v>
      </c>
      <c r="E30" s="163"/>
      <c r="F30" s="144" t="s">
        <v>105</v>
      </c>
      <c r="G30" s="221"/>
      <c r="H30" s="222"/>
      <c r="I30" s="223"/>
      <c r="J30" s="224"/>
      <c r="K30" s="794"/>
      <c r="L30" s="795"/>
      <c r="M30" s="130"/>
      <c r="N30" s="130"/>
      <c r="O30" s="130"/>
    </row>
    <row r="31" spans="1:15" ht="51" customHeight="1" thickBot="1">
      <c r="A31" s="209">
        <v>29</v>
      </c>
      <c r="B31" s="225" t="s">
        <v>167</v>
      </c>
      <c r="C31" s="193" t="s">
        <v>101</v>
      </c>
      <c r="D31" s="169" t="s">
        <v>168</v>
      </c>
      <c r="E31" s="577" t="s">
        <v>497</v>
      </c>
      <c r="F31" s="573" t="s">
        <v>158</v>
      </c>
      <c r="G31" s="226"/>
      <c r="H31" s="796"/>
      <c r="I31" s="797"/>
      <c r="J31" s="797"/>
      <c r="K31" s="797"/>
      <c r="L31" s="798"/>
      <c r="M31" s="130"/>
      <c r="N31" s="130"/>
      <c r="O31" s="130"/>
    </row>
    <row r="32" spans="1:15">
      <c r="A32" s="209">
        <v>30</v>
      </c>
      <c r="B32" s="575" t="s">
        <v>163</v>
      </c>
      <c r="C32" s="193" t="s">
        <v>101</v>
      </c>
      <c r="D32" s="169" t="s">
        <v>169</v>
      </c>
      <c r="E32" s="227"/>
      <c r="F32" s="144" t="s">
        <v>105</v>
      </c>
      <c r="G32" s="568"/>
      <c r="H32" s="578"/>
      <c r="I32" s="578"/>
      <c r="J32" s="579"/>
      <c r="K32" s="799"/>
      <c r="L32" s="800"/>
      <c r="M32" s="130"/>
      <c r="N32" s="130"/>
      <c r="O32" s="130"/>
    </row>
    <row r="33" spans="1:15">
      <c r="A33" s="173"/>
      <c r="B33" s="575"/>
      <c r="C33" s="193"/>
      <c r="D33" s="169"/>
      <c r="E33" s="227"/>
      <c r="F33" s="228"/>
      <c r="G33" s="580"/>
      <c r="H33" s="229"/>
      <c r="I33" s="229"/>
      <c r="J33" s="230"/>
      <c r="K33" s="801"/>
      <c r="L33" s="802"/>
      <c r="M33" s="130"/>
      <c r="N33" s="130"/>
      <c r="O33" s="130"/>
    </row>
    <row r="34" spans="1:15">
      <c r="A34" s="209">
        <v>32</v>
      </c>
      <c r="B34" s="575"/>
      <c r="C34" s="193"/>
      <c r="D34" s="169"/>
      <c r="E34" s="227"/>
      <c r="F34" s="228"/>
      <c r="G34" s="581"/>
      <c r="H34" s="229"/>
      <c r="I34" s="231"/>
      <c r="J34" s="232"/>
      <c r="K34" s="803"/>
      <c r="L34" s="804"/>
      <c r="M34" s="130"/>
      <c r="N34" s="130"/>
      <c r="O34" s="130"/>
    </row>
    <row r="35" spans="1:15">
      <c r="A35" s="173">
        <v>33</v>
      </c>
      <c r="B35" s="210"/>
      <c r="C35" s="193"/>
      <c r="D35" s="169"/>
      <c r="E35" s="163"/>
      <c r="F35" s="582"/>
      <c r="G35" s="583"/>
      <c r="H35" s="229"/>
      <c r="I35" s="233"/>
      <c r="J35" s="584"/>
      <c r="K35" s="801"/>
      <c r="L35" s="802"/>
      <c r="M35" s="130"/>
      <c r="N35" s="130"/>
      <c r="O35" s="130"/>
    </row>
    <row r="36" spans="1:15" ht="15.6">
      <c r="A36" s="209">
        <v>34</v>
      </c>
      <c r="B36" s="192"/>
      <c r="C36" s="193"/>
      <c r="D36" s="169"/>
      <c r="E36" s="163"/>
      <c r="F36" s="582"/>
      <c r="G36" s="583"/>
      <c r="H36" s="229"/>
      <c r="I36" s="231"/>
      <c r="J36" s="234"/>
      <c r="K36" s="787"/>
      <c r="L36" s="788"/>
      <c r="M36" s="130"/>
      <c r="N36" s="130"/>
      <c r="O36" s="130"/>
    </row>
    <row r="37" spans="1:15">
      <c r="A37" s="209">
        <v>35</v>
      </c>
      <c r="B37" s="192"/>
      <c r="C37" s="220"/>
      <c r="D37" s="169"/>
      <c r="E37" s="235"/>
      <c r="F37" s="582"/>
      <c r="G37" s="566"/>
      <c r="H37" s="229"/>
      <c r="I37" s="236"/>
      <c r="J37" s="237"/>
      <c r="K37" s="763"/>
      <c r="L37" s="764"/>
      <c r="M37" s="130"/>
      <c r="N37" s="130"/>
      <c r="O37" s="130"/>
    </row>
    <row r="38" spans="1:15" ht="15.6">
      <c r="A38" s="173">
        <v>36</v>
      </c>
      <c r="B38" s="192"/>
      <c r="C38" s="193"/>
      <c r="D38" s="169"/>
      <c r="E38" s="235"/>
      <c r="F38" s="585"/>
      <c r="G38" s="566"/>
      <c r="H38" s="229"/>
      <c r="I38" s="238"/>
      <c r="J38" s="239"/>
      <c r="K38" s="765"/>
      <c r="L38" s="766"/>
      <c r="M38" s="130"/>
      <c r="N38" s="130"/>
      <c r="O38" s="130"/>
    </row>
    <row r="39" spans="1:15" ht="16.2" thickBot="1">
      <c r="A39" s="209">
        <v>37</v>
      </c>
      <c r="B39" s="240"/>
      <c r="C39" s="241"/>
      <c r="D39" s="242"/>
      <c r="E39" s="243"/>
      <c r="F39" s="557"/>
      <c r="G39" s="581"/>
      <c r="H39" s="229"/>
      <c r="I39" s="233"/>
      <c r="J39" s="586"/>
      <c r="K39" s="767"/>
      <c r="L39" s="768"/>
      <c r="M39" s="130"/>
      <c r="N39" s="130"/>
      <c r="O39" s="130"/>
    </row>
    <row r="40" spans="1:15" ht="21" customHeight="1" thickBot="1">
      <c r="A40" s="152"/>
      <c r="B40" s="769" t="s">
        <v>170</v>
      </c>
      <c r="C40" s="770"/>
      <c r="D40" s="770"/>
      <c r="E40" s="771"/>
      <c r="F40" s="587"/>
      <c r="G40" s="581"/>
      <c r="H40" s="772" t="s">
        <v>171</v>
      </c>
      <c r="I40" s="773"/>
      <c r="J40" s="773"/>
      <c r="K40" s="773"/>
      <c r="L40" s="774"/>
      <c r="M40" s="130"/>
      <c r="N40" s="130"/>
      <c r="O40" s="130"/>
    </row>
    <row r="41" spans="1:15" ht="29.25" customHeight="1">
      <c r="A41" s="209">
        <v>39</v>
      </c>
      <c r="B41" s="588" t="s">
        <v>133</v>
      </c>
      <c r="C41" s="589" t="s">
        <v>118</v>
      </c>
      <c r="D41" s="590" t="s">
        <v>172</v>
      </c>
      <c r="E41" s="163"/>
      <c r="F41" s="144" t="s">
        <v>105</v>
      </c>
      <c r="G41" s="581"/>
      <c r="H41" s="775"/>
      <c r="I41" s="776"/>
      <c r="J41" s="776"/>
      <c r="K41" s="776"/>
      <c r="L41" s="777"/>
      <c r="M41" s="130"/>
      <c r="N41" s="130"/>
      <c r="O41" s="130"/>
    </row>
    <row r="42" spans="1:15" ht="26.25" customHeight="1">
      <c r="A42" s="173">
        <v>40</v>
      </c>
      <c r="B42" s="169" t="s">
        <v>144</v>
      </c>
      <c r="C42" s="244" t="s">
        <v>118</v>
      </c>
      <c r="D42" s="245" t="s">
        <v>173</v>
      </c>
      <c r="E42" s="163"/>
      <c r="F42" s="144" t="s">
        <v>105</v>
      </c>
      <c r="G42" s="247"/>
      <c r="H42" s="778"/>
      <c r="I42" s="779"/>
      <c r="J42" s="779"/>
      <c r="K42" s="779"/>
      <c r="L42" s="780"/>
      <c r="M42" s="130"/>
      <c r="N42" s="130"/>
      <c r="O42" s="130"/>
    </row>
    <row r="43" spans="1:15" ht="18.75" customHeight="1" thickBot="1">
      <c r="A43" s="591">
        <v>41</v>
      </c>
      <c r="B43" s="242" t="s">
        <v>174</v>
      </c>
      <c r="C43" s="248" t="s">
        <v>118</v>
      </c>
      <c r="D43" s="249" t="s">
        <v>175</v>
      </c>
      <c r="E43" s="163"/>
      <c r="F43" s="144" t="s">
        <v>105</v>
      </c>
      <c r="G43" s="250">
        <v>1799543</v>
      </c>
      <c r="H43" s="781"/>
      <c r="I43" s="782"/>
      <c r="J43" s="782"/>
      <c r="K43" s="782"/>
      <c r="L43" s="783"/>
      <c r="M43" s="130"/>
      <c r="N43" s="130"/>
      <c r="O43" s="130"/>
    </row>
    <row r="44" spans="1:15" ht="21.6" thickBot="1">
      <c r="A44" s="152">
        <v>42</v>
      </c>
      <c r="B44" s="748" t="s">
        <v>176</v>
      </c>
      <c r="C44" s="749"/>
      <c r="D44" s="749"/>
      <c r="E44" s="750"/>
      <c r="F44" s="592"/>
      <c r="G44" s="593"/>
      <c r="H44" s="784" t="s">
        <v>177</v>
      </c>
      <c r="I44" s="785"/>
      <c r="J44" s="785"/>
      <c r="K44" s="785"/>
      <c r="L44" s="786"/>
      <c r="M44" s="130"/>
      <c r="N44" s="130"/>
      <c r="O44" s="130"/>
    </row>
    <row r="45" spans="1:15" ht="60.75" customHeight="1">
      <c r="A45" s="173">
        <v>43</v>
      </c>
      <c r="B45" s="594" t="s">
        <v>178</v>
      </c>
      <c r="C45" s="595" t="s">
        <v>106</v>
      </c>
      <c r="D45" s="596" t="s">
        <v>179</v>
      </c>
      <c r="E45" s="597" t="s">
        <v>498</v>
      </c>
      <c r="F45" s="246" t="s">
        <v>112</v>
      </c>
      <c r="H45" s="775"/>
      <c r="I45" s="776"/>
      <c r="J45" s="776"/>
      <c r="K45" s="776"/>
      <c r="L45" s="777"/>
      <c r="M45" s="130"/>
      <c r="N45" s="130"/>
      <c r="O45" s="130"/>
    </row>
    <row r="46" spans="1:15">
      <c r="A46" s="209">
        <v>44</v>
      </c>
      <c r="B46" s="251" t="s">
        <v>180</v>
      </c>
      <c r="C46" s="162" t="s">
        <v>106</v>
      </c>
      <c r="D46" s="252" t="s">
        <v>181</v>
      </c>
      <c r="E46" s="163"/>
      <c r="F46" s="557" t="s">
        <v>182</v>
      </c>
      <c r="G46" s="130"/>
      <c r="H46" s="760"/>
      <c r="I46" s="761"/>
      <c r="J46" s="761"/>
      <c r="K46" s="761"/>
      <c r="L46" s="762"/>
      <c r="M46" s="130"/>
      <c r="N46" s="130"/>
      <c r="O46" s="130"/>
    </row>
    <row r="47" spans="1:15" ht="15" thickBot="1">
      <c r="A47" s="173">
        <v>45</v>
      </c>
      <c r="B47" s="225" t="s">
        <v>180</v>
      </c>
      <c r="C47" s="162" t="s">
        <v>106</v>
      </c>
      <c r="D47" s="252" t="s">
        <v>183</v>
      </c>
      <c r="E47" s="163"/>
      <c r="F47" s="557" t="s">
        <v>182</v>
      </c>
      <c r="G47" s="566"/>
      <c r="H47" s="742"/>
      <c r="I47" s="743"/>
      <c r="J47" s="743"/>
      <c r="K47" s="743"/>
      <c r="L47" s="744"/>
      <c r="M47" s="130"/>
      <c r="N47" s="130"/>
      <c r="O47" s="130"/>
    </row>
    <row r="48" spans="1:15" ht="15" thickBot="1">
      <c r="A48" s="173">
        <v>46</v>
      </c>
      <c r="B48" s="242" t="s">
        <v>178</v>
      </c>
      <c r="C48" s="253" t="s">
        <v>106</v>
      </c>
      <c r="D48" s="254" t="s">
        <v>184</v>
      </c>
      <c r="E48" s="163"/>
      <c r="F48" s="557" t="s">
        <v>182</v>
      </c>
      <c r="H48" s="745" t="s">
        <v>185</v>
      </c>
      <c r="I48" s="746"/>
      <c r="J48" s="746"/>
      <c r="K48" s="746"/>
      <c r="L48" s="747"/>
      <c r="M48" s="130"/>
      <c r="N48" s="130"/>
      <c r="O48" s="130"/>
    </row>
    <row r="49" spans="1:15" ht="15.75" customHeight="1" thickBot="1">
      <c r="A49" s="152"/>
      <c r="B49" s="748" t="s">
        <v>186</v>
      </c>
      <c r="C49" s="749"/>
      <c r="D49" s="749"/>
      <c r="E49" s="750"/>
      <c r="F49" s="587"/>
      <c r="G49" s="581"/>
      <c r="H49" s="742"/>
      <c r="I49" s="743"/>
      <c r="J49" s="743"/>
      <c r="K49" s="743"/>
      <c r="L49" s="744"/>
      <c r="M49" s="130"/>
      <c r="N49" s="130"/>
      <c r="O49" s="130"/>
    </row>
    <row r="50" spans="1:15">
      <c r="A50" s="173">
        <v>47</v>
      </c>
      <c r="B50" s="598" t="s">
        <v>187</v>
      </c>
      <c r="C50" s="599" t="s">
        <v>188</v>
      </c>
      <c r="D50" s="600" t="s">
        <v>189</v>
      </c>
      <c r="E50" s="539"/>
      <c r="F50" s="557" t="s">
        <v>182</v>
      </c>
      <c r="G50" s="580"/>
      <c r="H50" s="751"/>
      <c r="I50" s="752"/>
      <c r="J50" s="752"/>
      <c r="K50" s="752"/>
      <c r="L50" s="753"/>
      <c r="M50" s="130"/>
      <c r="N50" s="130"/>
      <c r="O50" s="130"/>
    </row>
    <row r="51" spans="1:15">
      <c r="A51" s="173">
        <v>48</v>
      </c>
      <c r="B51" s="255" t="s">
        <v>163</v>
      </c>
      <c r="C51" s="256" t="s">
        <v>190</v>
      </c>
      <c r="D51" s="255" t="s">
        <v>191</v>
      </c>
      <c r="E51" s="163"/>
      <c r="F51" s="601" t="s">
        <v>105</v>
      </c>
      <c r="G51" s="580"/>
      <c r="H51" s="751"/>
      <c r="I51" s="752"/>
      <c r="J51" s="752"/>
      <c r="K51" s="752"/>
      <c r="L51" s="753"/>
      <c r="M51" s="130"/>
      <c r="N51" s="130"/>
      <c r="O51" s="130"/>
    </row>
    <row r="52" spans="1:15">
      <c r="A52" s="173">
        <v>49</v>
      </c>
      <c r="B52" s="255" t="s">
        <v>192</v>
      </c>
      <c r="C52" s="256" t="s">
        <v>193</v>
      </c>
      <c r="D52" s="255" t="s">
        <v>194</v>
      </c>
      <c r="E52" s="163"/>
      <c r="F52" s="601" t="s">
        <v>105</v>
      </c>
      <c r="G52" s="602"/>
      <c r="H52" s="754"/>
      <c r="I52" s="755"/>
      <c r="J52" s="755"/>
      <c r="K52" s="755"/>
      <c r="L52" s="756"/>
      <c r="M52" s="130"/>
      <c r="N52" s="130"/>
      <c r="O52" s="130"/>
    </row>
    <row r="53" spans="1:15" ht="15" thickBot="1">
      <c r="A53" s="173">
        <v>50</v>
      </c>
      <c r="B53" s="255" t="s">
        <v>195</v>
      </c>
      <c r="C53" s="256" t="s">
        <v>190</v>
      </c>
      <c r="D53" s="144" t="s">
        <v>196</v>
      </c>
      <c r="E53" s="163"/>
      <c r="F53" s="603" t="s">
        <v>105</v>
      </c>
      <c r="G53" s="604"/>
      <c r="H53" s="757"/>
      <c r="I53" s="758"/>
      <c r="J53" s="758"/>
      <c r="K53" s="758"/>
      <c r="L53" s="759"/>
      <c r="M53" s="130"/>
      <c r="N53" s="130"/>
      <c r="O53" s="130"/>
    </row>
    <row r="54" spans="1:15">
      <c r="A54" s="173">
        <v>51</v>
      </c>
      <c r="B54" s="144" t="s">
        <v>197</v>
      </c>
      <c r="C54" s="256" t="s">
        <v>198</v>
      </c>
      <c r="D54" s="144" t="s">
        <v>199</v>
      </c>
      <c r="E54" s="163"/>
      <c r="F54" s="603" t="s">
        <v>105</v>
      </c>
      <c r="G54" s="605"/>
      <c r="H54" s="130"/>
      <c r="I54" s="130"/>
      <c r="J54" s="130"/>
      <c r="K54" s="130"/>
      <c r="L54" s="130"/>
      <c r="M54" s="130"/>
      <c r="N54" s="130"/>
      <c r="O54" s="130"/>
    </row>
    <row r="55" spans="1:15">
      <c r="A55" s="209">
        <v>52</v>
      </c>
      <c r="B55" s="144" t="s">
        <v>200</v>
      </c>
      <c r="C55" s="256" t="s">
        <v>201</v>
      </c>
      <c r="D55" s="144" t="s">
        <v>202</v>
      </c>
      <c r="E55" s="547" t="s">
        <v>499</v>
      </c>
      <c r="F55" s="246" t="s">
        <v>112</v>
      </c>
      <c r="G55" s="606"/>
      <c r="H55" s="130"/>
      <c r="I55" s="130"/>
      <c r="J55" s="130"/>
      <c r="K55" s="130"/>
      <c r="L55" s="130"/>
      <c r="M55" s="130"/>
      <c r="N55" s="130"/>
      <c r="O55" s="130"/>
    </row>
    <row r="56" spans="1:15" ht="16.5" customHeight="1">
      <c r="A56" s="209">
        <v>53</v>
      </c>
      <c r="B56" s="144" t="s">
        <v>203</v>
      </c>
      <c r="C56" s="256" t="s">
        <v>204</v>
      </c>
      <c r="D56" s="144" t="s">
        <v>205</v>
      </c>
      <c r="E56" s="163"/>
      <c r="F56" s="601" t="s">
        <v>105</v>
      </c>
      <c r="G56" s="607"/>
      <c r="H56" s="130"/>
      <c r="I56" s="130"/>
      <c r="J56" s="130"/>
      <c r="K56" s="130"/>
      <c r="L56" s="130"/>
      <c r="M56" s="130"/>
      <c r="N56" s="130"/>
      <c r="O56" s="130"/>
    </row>
    <row r="57" spans="1:15">
      <c r="A57" s="209">
        <v>54</v>
      </c>
      <c r="B57" s="144" t="s">
        <v>206</v>
      </c>
      <c r="C57" s="256" t="s">
        <v>207</v>
      </c>
      <c r="D57" s="144" t="s">
        <v>208</v>
      </c>
      <c r="E57" s="163"/>
      <c r="F57" s="601" t="s">
        <v>105</v>
      </c>
      <c r="G57" s="608"/>
      <c r="H57" s="130"/>
      <c r="I57" s="130"/>
      <c r="J57" s="130"/>
      <c r="K57" s="130"/>
      <c r="L57" s="130"/>
      <c r="M57" s="130"/>
      <c r="N57" s="130"/>
      <c r="O57" s="130"/>
    </row>
    <row r="58" spans="1:15">
      <c r="A58" s="173">
        <v>55</v>
      </c>
      <c r="B58" s="144" t="s">
        <v>209</v>
      </c>
      <c r="C58" s="256" t="s">
        <v>210</v>
      </c>
      <c r="D58" s="255" t="s">
        <v>211</v>
      </c>
      <c r="E58" s="163"/>
      <c r="F58" s="601" t="s">
        <v>105</v>
      </c>
      <c r="G58" s="554"/>
      <c r="H58" s="130"/>
      <c r="I58" s="130"/>
      <c r="J58" s="130"/>
      <c r="K58" s="130"/>
      <c r="L58" s="130"/>
      <c r="M58" s="130"/>
      <c r="N58" s="130"/>
      <c r="O58" s="130"/>
    </row>
    <row r="59" spans="1:15" ht="16.5" customHeight="1">
      <c r="A59" s="173">
        <v>56</v>
      </c>
      <c r="B59" s="144" t="s">
        <v>212</v>
      </c>
      <c r="C59" s="256" t="s">
        <v>213</v>
      </c>
      <c r="D59" s="144" t="s">
        <v>214</v>
      </c>
      <c r="E59" s="163"/>
      <c r="F59" s="582" t="s">
        <v>105</v>
      </c>
      <c r="G59" s="609"/>
      <c r="H59" s="130"/>
      <c r="I59" s="130"/>
      <c r="J59" s="130"/>
      <c r="K59" s="130"/>
      <c r="L59" s="130"/>
      <c r="M59" s="130"/>
      <c r="N59" s="130"/>
      <c r="O59" s="130"/>
    </row>
    <row r="60" spans="1:15">
      <c r="A60" s="173">
        <v>57</v>
      </c>
      <c r="B60" s="144" t="s">
        <v>215</v>
      </c>
      <c r="C60" s="256" t="s">
        <v>216</v>
      </c>
      <c r="D60" s="144" t="s">
        <v>217</v>
      </c>
      <c r="E60" s="163"/>
      <c r="F60" s="601" t="s">
        <v>105</v>
      </c>
      <c r="G60" s="610"/>
      <c r="H60" s="130"/>
      <c r="I60" s="130"/>
      <c r="J60" s="130"/>
      <c r="K60" s="130"/>
      <c r="L60" s="130"/>
      <c r="M60" s="130"/>
      <c r="N60" s="130"/>
      <c r="O60" s="130"/>
    </row>
    <row r="61" spans="1:15">
      <c r="A61" s="173">
        <v>5</v>
      </c>
      <c r="B61" s="144"/>
      <c r="C61" s="256"/>
      <c r="D61" s="255"/>
      <c r="E61" s="163"/>
      <c r="F61" s="582" t="s">
        <v>105</v>
      </c>
      <c r="G61" s="610"/>
      <c r="H61" s="130"/>
      <c r="I61" s="130"/>
      <c r="J61" s="130"/>
      <c r="K61" s="130"/>
      <c r="L61" s="130"/>
      <c r="M61" s="130"/>
      <c r="N61" s="130"/>
      <c r="O61" s="130"/>
    </row>
    <row r="62" spans="1:15">
      <c r="A62" s="173">
        <v>55</v>
      </c>
      <c r="B62" s="144"/>
      <c r="C62" s="256"/>
      <c r="D62" s="255"/>
      <c r="E62" s="163"/>
      <c r="F62" s="582" t="s">
        <v>105</v>
      </c>
      <c r="G62" s="554"/>
      <c r="H62" s="130"/>
      <c r="I62" s="130"/>
      <c r="J62" s="130"/>
      <c r="K62" s="130"/>
      <c r="L62" s="130"/>
      <c r="M62" s="130"/>
      <c r="N62" s="130"/>
      <c r="O62" s="130"/>
    </row>
    <row r="63" spans="1:15" ht="15" thickBot="1">
      <c r="A63" s="173">
        <v>56</v>
      </c>
      <c r="B63" s="257"/>
      <c r="C63" s="258"/>
      <c r="D63" s="257"/>
      <c r="E63" s="243"/>
      <c r="F63" s="582"/>
      <c r="G63" s="611"/>
      <c r="H63" s="130"/>
      <c r="I63" s="130"/>
      <c r="J63" s="130"/>
      <c r="K63" s="130"/>
      <c r="L63" s="130"/>
      <c r="M63" s="130"/>
      <c r="N63" s="130"/>
      <c r="O63" s="130"/>
    </row>
    <row r="64" spans="1:15" ht="21" customHeight="1" thickBot="1">
      <c r="A64" s="152"/>
      <c r="B64" s="748"/>
      <c r="C64" s="749"/>
      <c r="D64" s="749"/>
      <c r="E64" s="750"/>
      <c r="F64" s="587"/>
      <c r="G64" s="612"/>
      <c r="H64" s="130"/>
      <c r="I64" s="130"/>
      <c r="J64" s="130"/>
      <c r="K64" s="130"/>
      <c r="L64" s="130"/>
      <c r="M64" s="130"/>
      <c r="N64" s="130"/>
      <c r="O64" s="130"/>
    </row>
    <row r="65" spans="1:43">
      <c r="A65" s="173">
        <v>58</v>
      </c>
      <c r="B65" s="538"/>
      <c r="C65" s="613"/>
      <c r="D65" s="614"/>
      <c r="E65" s="615"/>
      <c r="F65" s="144" t="s">
        <v>105</v>
      </c>
      <c r="G65" s="259"/>
      <c r="H65" s="130"/>
      <c r="I65" s="130"/>
      <c r="J65" s="130"/>
      <c r="K65" s="130"/>
      <c r="L65" s="130"/>
      <c r="M65" s="130"/>
      <c r="N65" s="130"/>
      <c r="O65" s="130"/>
    </row>
    <row r="66" spans="1:43" ht="15" thickBot="1">
      <c r="A66" s="173">
        <v>59</v>
      </c>
      <c r="B66" s="260"/>
      <c r="C66" s="261"/>
      <c r="D66" s="260"/>
      <c r="E66" s="262"/>
      <c r="F66" s="144" t="s">
        <v>105</v>
      </c>
      <c r="G66" s="263"/>
      <c r="H66" s="130"/>
      <c r="I66" s="130"/>
      <c r="J66" s="130"/>
      <c r="K66" s="130"/>
      <c r="L66" s="130"/>
      <c r="M66" s="130"/>
      <c r="N66" s="130"/>
      <c r="O66" s="130"/>
    </row>
    <row r="67" spans="1:43" ht="15" thickBot="1">
      <c r="A67" s="152"/>
      <c r="B67" s="748" t="s">
        <v>186</v>
      </c>
      <c r="C67" s="749"/>
      <c r="D67" s="749"/>
      <c r="E67" s="750"/>
      <c r="F67" s="144"/>
      <c r="G67" s="612"/>
      <c r="H67" s="130"/>
      <c r="I67" s="130"/>
      <c r="J67" s="130"/>
      <c r="K67" s="130"/>
      <c r="L67" s="130"/>
      <c r="M67" s="130"/>
      <c r="N67" s="130"/>
      <c r="O67" s="130"/>
    </row>
    <row r="68" spans="1:43" ht="31.5" customHeight="1">
      <c r="A68" s="209">
        <v>61</v>
      </c>
      <c r="B68" s="255" t="s">
        <v>174</v>
      </c>
      <c r="C68" s="265" t="s">
        <v>222</v>
      </c>
      <c r="D68" s="201" t="s">
        <v>500</v>
      </c>
      <c r="E68" s="616" t="s">
        <v>501</v>
      </c>
      <c r="F68" s="573" t="s">
        <v>158</v>
      </c>
      <c r="G68" s="197"/>
      <c r="H68" s="130"/>
      <c r="I68" s="130"/>
      <c r="J68" s="130"/>
      <c r="K68" s="130"/>
      <c r="L68" s="130"/>
      <c r="M68" s="130"/>
      <c r="N68" s="130"/>
      <c r="O68" s="130"/>
    </row>
    <row r="69" spans="1:43">
      <c r="A69" s="173">
        <v>62</v>
      </c>
      <c r="B69" s="255" t="s">
        <v>218</v>
      </c>
      <c r="C69" s="264" t="s">
        <v>219</v>
      </c>
      <c r="D69" s="255" t="s">
        <v>220</v>
      </c>
      <c r="E69" s="163"/>
      <c r="F69" s="144" t="s">
        <v>105</v>
      </c>
      <c r="G69" s="263"/>
      <c r="H69" s="130"/>
      <c r="I69" s="130"/>
      <c r="J69" s="130"/>
      <c r="K69" s="130"/>
      <c r="L69" s="130"/>
      <c r="M69" s="130"/>
      <c r="N69" s="130"/>
      <c r="O69" s="130"/>
    </row>
    <row r="70" spans="1:43">
      <c r="A70" s="173">
        <v>63</v>
      </c>
      <c r="B70" s="255" t="s">
        <v>221</v>
      </c>
      <c r="C70" s="265" t="s">
        <v>222</v>
      </c>
      <c r="D70" s="201" t="s">
        <v>223</v>
      </c>
      <c r="E70" s="163"/>
      <c r="F70" s="144" t="s">
        <v>105</v>
      </c>
      <c r="G70" s="197"/>
      <c r="H70" s="130"/>
      <c r="I70" s="130"/>
      <c r="J70" s="130"/>
      <c r="K70" s="130"/>
      <c r="L70" s="130"/>
      <c r="M70" s="130"/>
      <c r="N70" s="130"/>
      <c r="O70" s="130"/>
    </row>
    <row r="71" spans="1:43">
      <c r="A71" s="173">
        <v>64</v>
      </c>
      <c r="B71" s="255" t="s">
        <v>141</v>
      </c>
      <c r="C71" s="265" t="s">
        <v>224</v>
      </c>
      <c r="D71" s="201" t="s">
        <v>225</v>
      </c>
      <c r="E71" s="163"/>
      <c r="F71" s="144" t="s">
        <v>105</v>
      </c>
      <c r="G71" s="266"/>
      <c r="H71" s="130"/>
      <c r="I71" s="130"/>
      <c r="J71" s="130"/>
      <c r="K71" s="130"/>
      <c r="L71" s="130"/>
      <c r="M71" s="130"/>
      <c r="N71" s="130"/>
      <c r="O71" s="130"/>
    </row>
    <row r="72" spans="1:43">
      <c r="A72" s="173">
        <v>65</v>
      </c>
      <c r="B72" s="255" t="s">
        <v>226</v>
      </c>
      <c r="C72" s="265" t="s">
        <v>227</v>
      </c>
      <c r="D72" s="201" t="s">
        <v>228</v>
      </c>
      <c r="E72" s="617"/>
      <c r="F72" s="144" t="s">
        <v>105</v>
      </c>
      <c r="G72" s="266"/>
      <c r="H72" s="130"/>
      <c r="I72" s="130"/>
      <c r="J72" s="130"/>
      <c r="K72" s="130"/>
      <c r="L72" s="130"/>
      <c r="M72" s="130"/>
      <c r="N72" s="130"/>
      <c r="O72" s="130"/>
    </row>
    <row r="73" spans="1:43">
      <c r="A73" s="173">
        <v>66</v>
      </c>
      <c r="B73" s="255" t="s">
        <v>174</v>
      </c>
      <c r="C73" s="265" t="s">
        <v>222</v>
      </c>
      <c r="D73" s="201" t="s">
        <v>229</v>
      </c>
      <c r="E73" s="617"/>
      <c r="F73" s="144" t="s">
        <v>105</v>
      </c>
      <c r="G73" s="267"/>
      <c r="H73" s="130"/>
      <c r="I73" s="130"/>
      <c r="J73" s="130"/>
      <c r="K73" s="130"/>
      <c r="L73" s="130"/>
      <c r="M73" s="130"/>
      <c r="N73" s="130"/>
      <c r="O73" s="130"/>
    </row>
    <row r="74" spans="1:43" ht="15.6">
      <c r="A74" s="173">
        <v>67</v>
      </c>
      <c r="B74" s="255" t="s">
        <v>174</v>
      </c>
      <c r="C74" s="265" t="s">
        <v>222</v>
      </c>
      <c r="D74" s="201" t="s">
        <v>230</v>
      </c>
      <c r="E74" s="617"/>
      <c r="F74" s="144" t="s">
        <v>105</v>
      </c>
      <c r="G74" s="268"/>
      <c r="H74" s="130"/>
      <c r="I74" s="130"/>
      <c r="J74" s="130"/>
      <c r="K74" s="130"/>
      <c r="L74" s="130"/>
      <c r="M74" s="130"/>
      <c r="N74" s="130"/>
      <c r="O74" s="130"/>
    </row>
    <row r="75" spans="1:43" ht="16.2" thickBot="1">
      <c r="A75" s="173">
        <v>68</v>
      </c>
      <c r="B75" s="255"/>
      <c r="C75" s="265"/>
      <c r="D75" s="201"/>
      <c r="E75" s="617"/>
      <c r="F75" s="144"/>
      <c r="G75" s="268"/>
      <c r="H75" s="130"/>
      <c r="I75" s="130"/>
      <c r="J75" s="130"/>
      <c r="K75" s="130"/>
      <c r="L75" s="130"/>
      <c r="M75" s="130"/>
      <c r="N75" s="130"/>
      <c r="O75" s="130"/>
    </row>
    <row r="76" spans="1:43" ht="15" thickBot="1">
      <c r="A76" s="152"/>
      <c r="B76" s="748" t="s">
        <v>231</v>
      </c>
      <c r="C76" s="749"/>
      <c r="D76" s="749"/>
      <c r="E76" s="750"/>
      <c r="F76" s="144" t="s">
        <v>105</v>
      </c>
      <c r="G76" s="269"/>
      <c r="H76" s="130"/>
      <c r="I76" s="130"/>
      <c r="J76" s="130"/>
      <c r="K76" s="130"/>
      <c r="L76" s="130"/>
      <c r="M76" s="130"/>
      <c r="N76" s="130"/>
      <c r="O76" s="130"/>
    </row>
    <row r="77" spans="1:43" hidden="1">
      <c r="A77" s="209">
        <v>70</v>
      </c>
      <c r="B77" s="255" t="s">
        <v>120</v>
      </c>
      <c r="C77" s="255" t="s">
        <v>120</v>
      </c>
      <c r="D77" s="255" t="s">
        <v>232</v>
      </c>
      <c r="E77" s="270"/>
      <c r="F77" s="144" t="s">
        <v>105</v>
      </c>
      <c r="G77" s="266"/>
      <c r="H77" s="130"/>
      <c r="I77" s="130"/>
      <c r="J77" s="130"/>
      <c r="K77" s="130"/>
      <c r="L77" s="130"/>
      <c r="M77" s="130"/>
      <c r="N77" s="130"/>
      <c r="O77" s="130"/>
    </row>
    <row r="78" spans="1:43" hidden="1">
      <c r="A78" s="209">
        <v>71</v>
      </c>
      <c r="B78" s="255" t="s">
        <v>120</v>
      </c>
      <c r="C78" s="255" t="s">
        <v>233</v>
      </c>
      <c r="D78" s="255" t="s">
        <v>234</v>
      </c>
      <c r="E78" s="270"/>
      <c r="F78" s="144" t="s">
        <v>105</v>
      </c>
      <c r="G78" s="267"/>
      <c r="H78" s="130"/>
      <c r="I78" s="130"/>
      <c r="J78" s="130"/>
      <c r="K78" s="130"/>
      <c r="L78" s="130"/>
      <c r="M78" s="130"/>
      <c r="N78" s="130"/>
      <c r="O78" s="130"/>
    </row>
    <row r="79" spans="1:43" hidden="1">
      <c r="A79" s="173">
        <v>72</v>
      </c>
      <c r="B79" s="255" t="s">
        <v>120</v>
      </c>
      <c r="C79" s="255" t="s">
        <v>120</v>
      </c>
      <c r="D79" s="255" t="s">
        <v>235</v>
      </c>
      <c r="E79" s="270"/>
      <c r="F79" s="144" t="s">
        <v>105</v>
      </c>
      <c r="G79" s="271"/>
      <c r="H79" s="130"/>
      <c r="I79" s="130"/>
      <c r="J79" s="130"/>
      <c r="K79" s="130"/>
      <c r="L79" s="130"/>
      <c r="M79" s="130"/>
      <c r="N79" s="130"/>
      <c r="O79" s="130"/>
    </row>
    <row r="80" spans="1:43" ht="16.5" hidden="1" customHeight="1">
      <c r="A80" s="173">
        <v>73</v>
      </c>
      <c r="B80" s="255" t="s">
        <v>120</v>
      </c>
      <c r="C80" s="255" t="s">
        <v>120</v>
      </c>
      <c r="D80" s="255" t="s">
        <v>236</v>
      </c>
      <c r="E80" s="270"/>
      <c r="F80" s="144" t="s">
        <v>105</v>
      </c>
      <c r="G80" s="272"/>
      <c r="H80" s="130"/>
      <c r="I80" s="130"/>
      <c r="J80" s="130"/>
      <c r="K80" s="130"/>
      <c r="L80" s="130"/>
      <c r="M80" s="130"/>
      <c r="N80" s="130"/>
      <c r="O80" s="130"/>
      <c r="AQ80" s="107"/>
    </row>
    <row r="81" spans="1:47" hidden="1">
      <c r="A81" s="173">
        <v>74</v>
      </c>
      <c r="B81" s="255" t="s">
        <v>120</v>
      </c>
      <c r="C81" s="255" t="s">
        <v>237</v>
      </c>
      <c r="D81" s="255" t="s">
        <v>238</v>
      </c>
      <c r="E81" s="270"/>
      <c r="F81" s="144" t="s">
        <v>105</v>
      </c>
      <c r="G81" s="273"/>
      <c r="H81" s="130"/>
      <c r="I81" s="130"/>
      <c r="J81" s="130"/>
      <c r="K81" s="130"/>
      <c r="L81" s="130"/>
      <c r="M81" s="130"/>
      <c r="N81" s="130"/>
      <c r="O81" s="130"/>
    </row>
    <row r="82" spans="1:47" hidden="1">
      <c r="A82" s="173">
        <v>75</v>
      </c>
      <c r="B82" s="255" t="s">
        <v>120</v>
      </c>
      <c r="C82" s="255" t="s">
        <v>239</v>
      </c>
      <c r="D82" s="255" t="s">
        <v>240</v>
      </c>
      <c r="E82" s="270"/>
      <c r="F82" s="144" t="s">
        <v>105</v>
      </c>
      <c r="G82" s="273"/>
      <c r="H82" s="130"/>
      <c r="I82" s="130"/>
      <c r="J82" s="130"/>
      <c r="K82" s="130"/>
      <c r="L82" s="130"/>
      <c r="M82" s="130"/>
      <c r="N82" s="130"/>
      <c r="O82" s="130"/>
    </row>
    <row r="83" spans="1:47" hidden="1">
      <c r="A83" s="173">
        <v>76</v>
      </c>
      <c r="B83" s="255" t="s">
        <v>120</v>
      </c>
      <c r="C83" s="255" t="s">
        <v>239</v>
      </c>
      <c r="D83" s="144" t="s">
        <v>241</v>
      </c>
      <c r="E83" s="270"/>
      <c r="F83" s="144" t="s">
        <v>105</v>
      </c>
      <c r="G83" s="273"/>
      <c r="H83" s="130"/>
      <c r="I83" s="130"/>
      <c r="J83" s="130"/>
      <c r="K83" s="130"/>
      <c r="L83" s="130"/>
      <c r="M83" s="130"/>
      <c r="N83" s="130"/>
      <c r="O83" s="130"/>
    </row>
    <row r="84" spans="1:47" ht="15.75" hidden="1" customHeight="1">
      <c r="A84" s="173">
        <v>77</v>
      </c>
      <c r="B84" s="255" t="s">
        <v>120</v>
      </c>
      <c r="C84" s="255" t="s">
        <v>237</v>
      </c>
      <c r="D84" s="144" t="s">
        <v>242</v>
      </c>
      <c r="E84" s="270"/>
      <c r="F84" s="144" t="s">
        <v>105</v>
      </c>
      <c r="G84" s="274"/>
      <c r="H84" s="130"/>
      <c r="I84" s="130"/>
      <c r="J84" s="130"/>
      <c r="K84" s="130"/>
      <c r="L84" s="130"/>
      <c r="M84" s="130"/>
      <c r="N84" s="130"/>
      <c r="O84" s="130"/>
    </row>
    <row r="85" spans="1:47" ht="21" hidden="1" customHeight="1" thickBot="1">
      <c r="A85" s="200"/>
      <c r="B85" s="255" t="s">
        <v>120</v>
      </c>
      <c r="C85" s="255" t="s">
        <v>243</v>
      </c>
      <c r="D85" s="144" t="s">
        <v>244</v>
      </c>
      <c r="E85" s="618" t="s">
        <v>502</v>
      </c>
      <c r="F85" s="246" t="s">
        <v>112</v>
      </c>
      <c r="G85" s="273"/>
      <c r="H85" s="130"/>
      <c r="I85" s="130"/>
      <c r="J85" s="130"/>
      <c r="K85" s="130"/>
      <c r="L85" s="130"/>
      <c r="M85" s="130"/>
      <c r="N85" s="130"/>
      <c r="O85" s="130"/>
    </row>
    <row r="86" spans="1:47" ht="16.5" hidden="1" customHeight="1" thickBot="1">
      <c r="A86" s="275">
        <v>78</v>
      </c>
      <c r="B86" s="255" t="s">
        <v>120</v>
      </c>
      <c r="C86" s="255" t="s">
        <v>243</v>
      </c>
      <c r="D86" s="144" t="s">
        <v>245</v>
      </c>
      <c r="E86" s="270"/>
      <c r="F86" s="144" t="s">
        <v>105</v>
      </c>
      <c r="G86" s="274"/>
      <c r="H86" s="130"/>
      <c r="I86" s="130"/>
      <c r="J86" s="130"/>
      <c r="K86" s="130"/>
      <c r="L86" s="130"/>
      <c r="M86" s="130"/>
      <c r="N86" s="130"/>
      <c r="O86" s="130"/>
    </row>
    <row r="87" spans="1:47" s="102" customFormat="1" ht="15.75" customHeight="1" thickBot="1">
      <c r="A87" s="200"/>
      <c r="B87" s="739" t="s">
        <v>246</v>
      </c>
      <c r="C87" s="740"/>
      <c r="D87" s="740"/>
      <c r="E87" s="741"/>
      <c r="F87" s="144"/>
      <c r="G87" s="274"/>
      <c r="H87" s="276"/>
      <c r="I87" s="276"/>
      <c r="J87" s="276"/>
      <c r="K87" s="276"/>
      <c r="L87" s="276"/>
      <c r="M87" s="276"/>
      <c r="N87" s="276"/>
      <c r="O87" s="276"/>
      <c r="P87" s="107"/>
      <c r="Q87" s="107"/>
      <c r="R87" s="107"/>
      <c r="S87" s="107"/>
      <c r="T87" s="107"/>
      <c r="U87" s="107"/>
      <c r="V87" s="107"/>
      <c r="W87" s="107"/>
      <c r="X87" s="107"/>
      <c r="Y87" s="107"/>
      <c r="Z87" s="107"/>
      <c r="AA87" s="107"/>
      <c r="AB87" s="107"/>
      <c r="AC87" s="107"/>
      <c r="AD87" s="107"/>
      <c r="AE87" s="107"/>
      <c r="AF87" s="107"/>
      <c r="AG87" s="107"/>
      <c r="AH87" s="107"/>
      <c r="AI87" s="107"/>
      <c r="AJ87" s="107"/>
      <c r="AK87" s="107"/>
      <c r="AL87" s="107"/>
      <c r="AM87" s="107"/>
      <c r="AN87" s="107"/>
      <c r="AO87" s="107"/>
      <c r="AP87" s="107"/>
      <c r="AQ87" s="107"/>
      <c r="AR87" s="107"/>
      <c r="AS87" s="107"/>
      <c r="AT87" s="107"/>
      <c r="AU87" s="107"/>
    </row>
    <row r="88" spans="1:47" ht="15" thickBot="1">
      <c r="A88" s="275">
        <v>78</v>
      </c>
      <c r="B88" s="144" t="s">
        <v>247</v>
      </c>
      <c r="C88" s="256" t="s">
        <v>248</v>
      </c>
      <c r="D88" s="144" t="s">
        <v>249</v>
      </c>
      <c r="E88" s="617"/>
      <c r="F88" s="144" t="s">
        <v>105</v>
      </c>
      <c r="G88" s="183"/>
      <c r="H88" s="130"/>
      <c r="I88" s="130"/>
      <c r="J88" s="130"/>
      <c r="K88" s="130"/>
      <c r="L88" s="130"/>
      <c r="M88" s="130"/>
      <c r="N88" s="130"/>
      <c r="O88" s="130"/>
    </row>
    <row r="89" spans="1:47" ht="18" customHeight="1" thickBot="1">
      <c r="A89" s="277">
        <v>79</v>
      </c>
      <c r="B89" s="144" t="s">
        <v>218</v>
      </c>
      <c r="C89" s="256" t="s">
        <v>250</v>
      </c>
      <c r="D89" s="144" t="s">
        <v>251</v>
      </c>
      <c r="E89" s="617"/>
      <c r="F89" s="144" t="s">
        <v>105</v>
      </c>
      <c r="G89" s="278"/>
      <c r="H89" s="130"/>
      <c r="I89" s="130"/>
      <c r="J89" s="130"/>
      <c r="K89" s="130"/>
      <c r="L89" s="130"/>
      <c r="M89" s="130"/>
      <c r="N89" s="130"/>
      <c r="O89" s="130"/>
    </row>
    <row r="90" spans="1:47">
      <c r="A90" s="173">
        <v>80</v>
      </c>
      <c r="B90" s="144" t="s">
        <v>252</v>
      </c>
      <c r="C90" s="256" t="s">
        <v>250</v>
      </c>
      <c r="D90" s="144" t="s">
        <v>253</v>
      </c>
      <c r="E90" s="619"/>
      <c r="F90" s="144" t="s">
        <v>105</v>
      </c>
      <c r="G90" s="279"/>
      <c r="H90" s="130"/>
      <c r="I90" s="130"/>
      <c r="J90" s="130"/>
      <c r="K90" s="130"/>
      <c r="L90" s="130"/>
      <c r="M90" s="130"/>
      <c r="N90" s="130"/>
      <c r="O90" s="130"/>
    </row>
    <row r="91" spans="1:47">
      <c r="A91" s="173">
        <v>81</v>
      </c>
      <c r="B91" s="144" t="s">
        <v>254</v>
      </c>
      <c r="C91" s="256" t="s">
        <v>255</v>
      </c>
      <c r="D91" s="144" t="s">
        <v>256</v>
      </c>
      <c r="E91" s="163"/>
      <c r="F91" s="144" t="s">
        <v>105</v>
      </c>
      <c r="G91" s="620"/>
      <c r="H91" s="130"/>
      <c r="I91" s="130"/>
      <c r="J91" s="130"/>
      <c r="K91" s="130"/>
      <c r="L91" s="130"/>
      <c r="M91" s="130"/>
      <c r="N91" s="130"/>
      <c r="O91" s="130"/>
    </row>
    <row r="92" spans="1:47">
      <c r="A92" s="271">
        <v>82</v>
      </c>
      <c r="B92" s="144" t="s">
        <v>257</v>
      </c>
      <c r="C92" s="256" t="s">
        <v>255</v>
      </c>
      <c r="D92" s="144" t="s">
        <v>258</v>
      </c>
      <c r="E92" s="539" t="s">
        <v>503</v>
      </c>
      <c r="F92" s="144" t="s">
        <v>105</v>
      </c>
      <c r="G92" s="183"/>
      <c r="H92" s="130"/>
      <c r="I92" s="130"/>
      <c r="J92" s="130"/>
      <c r="K92" s="130"/>
      <c r="L92" s="130"/>
      <c r="M92" s="130"/>
      <c r="N92" s="130"/>
      <c r="O92" s="130"/>
    </row>
    <row r="93" spans="1:47" ht="15.75" customHeight="1">
      <c r="A93" s="173">
        <v>83</v>
      </c>
      <c r="B93" s="144" t="s">
        <v>218</v>
      </c>
      <c r="C93" s="256" t="s">
        <v>255</v>
      </c>
      <c r="D93" s="144" t="s">
        <v>259</v>
      </c>
      <c r="E93" s="617"/>
      <c r="F93" s="144" t="s">
        <v>105</v>
      </c>
      <c r="G93" s="266"/>
      <c r="H93" s="130"/>
      <c r="I93" s="130"/>
      <c r="J93" s="130"/>
      <c r="K93" s="130"/>
      <c r="L93" s="130"/>
      <c r="M93" s="130"/>
      <c r="N93" s="130"/>
      <c r="O93" s="130"/>
    </row>
    <row r="94" spans="1:47" ht="15" thickBot="1">
      <c r="A94" s="173">
        <v>84</v>
      </c>
      <c r="B94" s="144" t="s">
        <v>247</v>
      </c>
      <c r="C94" s="256" t="s">
        <v>255</v>
      </c>
      <c r="D94" s="144" t="s">
        <v>260</v>
      </c>
      <c r="E94" s="617" t="s">
        <v>504</v>
      </c>
      <c r="F94" s="144" t="s">
        <v>105</v>
      </c>
      <c r="G94" s="266"/>
      <c r="H94" s="130"/>
      <c r="I94" s="130"/>
      <c r="J94" s="130"/>
      <c r="K94" s="130"/>
      <c r="L94" s="130"/>
      <c r="M94" s="130"/>
      <c r="N94" s="130"/>
      <c r="O94" s="130"/>
    </row>
    <row r="95" spans="1:47" ht="21" thickBot="1">
      <c r="A95" s="152"/>
      <c r="B95" s="280" t="s">
        <v>261</v>
      </c>
      <c r="C95" s="281"/>
      <c r="D95" s="281"/>
      <c r="E95" s="282"/>
      <c r="F95" s="283"/>
      <c r="G95" s="274"/>
      <c r="H95" s="130"/>
      <c r="I95" s="130"/>
      <c r="J95" s="130"/>
      <c r="K95" s="130"/>
      <c r="L95" s="130"/>
      <c r="M95" s="130"/>
      <c r="N95" s="130"/>
      <c r="O95" s="130"/>
    </row>
    <row r="96" spans="1:47">
      <c r="A96" s="152">
        <v>84</v>
      </c>
      <c r="B96" s="598" t="s">
        <v>262</v>
      </c>
      <c r="C96" s="621" t="s">
        <v>255</v>
      </c>
      <c r="D96" s="598" t="s">
        <v>263</v>
      </c>
      <c r="E96" s="617"/>
      <c r="F96" s="144" t="s">
        <v>105</v>
      </c>
      <c r="G96" s="173"/>
      <c r="H96" s="130"/>
      <c r="I96" s="130"/>
      <c r="J96" s="130"/>
      <c r="K96" s="130"/>
      <c r="L96" s="130"/>
      <c r="M96" s="130"/>
      <c r="N96" s="130"/>
      <c r="O96" s="130"/>
    </row>
    <row r="97" spans="1:15">
      <c r="A97" s="284">
        <v>85</v>
      </c>
      <c r="B97" s="169" t="s">
        <v>264</v>
      </c>
      <c r="C97" s="256" t="s">
        <v>255</v>
      </c>
      <c r="D97" s="144" t="s">
        <v>265</v>
      </c>
      <c r="E97" s="617"/>
      <c r="F97" s="144" t="s">
        <v>105</v>
      </c>
      <c r="G97" s="173"/>
      <c r="H97" s="130"/>
      <c r="I97" s="130"/>
      <c r="J97" s="130"/>
      <c r="K97" s="130"/>
      <c r="L97" s="130"/>
      <c r="M97" s="130"/>
      <c r="N97" s="130"/>
      <c r="O97" s="130"/>
    </row>
    <row r="98" spans="1:15">
      <c r="A98" s="284">
        <v>86</v>
      </c>
      <c r="B98" s="255" t="s">
        <v>266</v>
      </c>
      <c r="C98" s="256" t="s">
        <v>255</v>
      </c>
      <c r="D98" s="144" t="s">
        <v>267</v>
      </c>
      <c r="E98" s="622" t="s">
        <v>505</v>
      </c>
      <c r="F98" s="246" t="s">
        <v>112</v>
      </c>
      <c r="G98" s="173"/>
      <c r="H98" s="130"/>
      <c r="I98" s="130"/>
      <c r="J98" s="130"/>
      <c r="K98" s="130"/>
      <c r="L98" s="130"/>
      <c r="M98" s="130"/>
      <c r="N98" s="130"/>
      <c r="O98" s="130"/>
    </row>
    <row r="99" spans="1:15" ht="21" customHeight="1">
      <c r="A99" s="130"/>
      <c r="B99" s="255" t="s">
        <v>268</v>
      </c>
      <c r="C99" s="256" t="s">
        <v>255</v>
      </c>
      <c r="D99" s="144" t="s">
        <v>269</v>
      </c>
      <c r="E99" s="617"/>
      <c r="F99" s="144" t="s">
        <v>105</v>
      </c>
      <c r="G99" s="173"/>
      <c r="H99" s="130"/>
      <c r="I99" s="130"/>
      <c r="J99" s="130"/>
      <c r="K99" s="130"/>
      <c r="L99" s="130"/>
      <c r="M99" s="130"/>
      <c r="N99" s="130"/>
      <c r="O99" s="130"/>
    </row>
    <row r="100" spans="1:15" ht="15" thickBot="1">
      <c r="A100" s="130"/>
      <c r="B100" s="144" t="s">
        <v>218</v>
      </c>
      <c r="C100" s="256" t="s">
        <v>255</v>
      </c>
      <c r="D100" s="144" t="s">
        <v>270</v>
      </c>
      <c r="E100" s="617"/>
      <c r="F100" s="144" t="s">
        <v>105</v>
      </c>
      <c r="G100" s="173"/>
      <c r="H100" s="130"/>
      <c r="I100" s="130"/>
      <c r="J100" s="130"/>
      <c r="K100" s="130"/>
      <c r="L100" s="130"/>
      <c r="M100" s="130"/>
      <c r="N100" s="130"/>
      <c r="O100" s="130"/>
    </row>
    <row r="101" spans="1:15" ht="21" thickBot="1">
      <c r="A101" s="130"/>
      <c r="B101" s="285" t="s">
        <v>271</v>
      </c>
      <c r="C101" s="281"/>
      <c r="D101" s="281"/>
      <c r="E101" s="286"/>
      <c r="F101" s="144"/>
      <c r="G101" s="173"/>
      <c r="H101" s="130"/>
      <c r="I101" s="130"/>
      <c r="J101" s="130"/>
      <c r="K101" s="130"/>
      <c r="L101" s="130"/>
      <c r="M101" s="130"/>
      <c r="N101" s="130"/>
      <c r="O101" s="130"/>
    </row>
    <row r="102" spans="1:15">
      <c r="A102" s="130">
        <v>87</v>
      </c>
      <c r="B102" s="255" t="s">
        <v>272</v>
      </c>
      <c r="C102" s="256" t="s">
        <v>255</v>
      </c>
      <c r="D102" s="144" t="s">
        <v>273</v>
      </c>
      <c r="E102" s="617"/>
      <c r="F102" s="144" t="s">
        <v>105</v>
      </c>
      <c r="G102" s="173"/>
      <c r="H102" s="130"/>
      <c r="I102" s="130"/>
      <c r="J102" s="130"/>
      <c r="K102" s="130"/>
      <c r="L102" s="130"/>
      <c r="M102" s="130"/>
      <c r="N102" s="130"/>
      <c r="O102" s="130"/>
    </row>
    <row r="103" spans="1:15">
      <c r="A103" s="130">
        <v>88</v>
      </c>
      <c r="B103" s="144" t="s">
        <v>218</v>
      </c>
      <c r="C103" s="256" t="s">
        <v>274</v>
      </c>
      <c r="D103" s="144" t="s">
        <v>275</v>
      </c>
      <c r="E103" s="617"/>
      <c r="F103" s="144" t="s">
        <v>105</v>
      </c>
      <c r="G103" s="173"/>
      <c r="H103" s="130"/>
      <c r="I103" s="130"/>
      <c r="J103" s="130"/>
      <c r="K103" s="130"/>
      <c r="L103" s="130"/>
      <c r="M103" s="130"/>
      <c r="N103" s="130"/>
      <c r="O103" s="130"/>
    </row>
    <row r="104" spans="1:15" ht="18" customHeight="1">
      <c r="A104" s="130">
        <v>89</v>
      </c>
      <c r="B104" s="255" t="s">
        <v>276</v>
      </c>
      <c r="C104" s="256" t="s">
        <v>255</v>
      </c>
      <c r="D104" s="144" t="s">
        <v>277</v>
      </c>
      <c r="E104" s="617"/>
      <c r="F104" s="144" t="s">
        <v>105</v>
      </c>
      <c r="G104" s="173"/>
      <c r="H104" s="130"/>
      <c r="I104" s="130"/>
      <c r="J104" s="130"/>
      <c r="K104" s="130"/>
      <c r="L104" s="130"/>
      <c r="M104" s="130"/>
      <c r="N104" s="130"/>
      <c r="O104" s="130"/>
    </row>
    <row r="105" spans="1:15">
      <c r="A105" s="130">
        <v>90</v>
      </c>
      <c r="B105" s="255" t="s">
        <v>276</v>
      </c>
      <c r="C105" s="256" t="s">
        <v>278</v>
      </c>
      <c r="D105" s="144" t="s">
        <v>506</v>
      </c>
      <c r="E105" s="619"/>
      <c r="F105" s="144" t="s">
        <v>105</v>
      </c>
      <c r="G105" s="173"/>
      <c r="H105" s="130"/>
      <c r="I105" s="130"/>
      <c r="J105" s="130"/>
      <c r="K105" s="130"/>
      <c r="L105" s="130"/>
      <c r="M105" s="130"/>
      <c r="N105" s="130"/>
      <c r="O105" s="130"/>
    </row>
    <row r="106" spans="1:15">
      <c r="A106" s="130">
        <v>91</v>
      </c>
      <c r="B106" s="255" t="s">
        <v>272</v>
      </c>
      <c r="C106" s="256" t="s">
        <v>278</v>
      </c>
      <c r="D106" s="144" t="s">
        <v>507</v>
      </c>
      <c r="E106" s="619"/>
      <c r="F106" s="144" t="s">
        <v>105</v>
      </c>
      <c r="G106" s="173"/>
      <c r="H106" s="130"/>
      <c r="I106" s="130"/>
      <c r="J106" s="130"/>
      <c r="K106" s="130"/>
      <c r="L106" s="130"/>
      <c r="M106" s="130"/>
      <c r="N106" s="130"/>
      <c r="O106" s="130"/>
    </row>
    <row r="107" spans="1:15">
      <c r="A107" s="130">
        <v>92</v>
      </c>
      <c r="B107" s="255" t="s">
        <v>279</v>
      </c>
      <c r="C107" s="256" t="s">
        <v>278</v>
      </c>
      <c r="D107" s="144" t="s">
        <v>508</v>
      </c>
      <c r="E107" s="619"/>
      <c r="F107" s="144" t="s">
        <v>105</v>
      </c>
      <c r="G107" s="173"/>
      <c r="H107" s="130"/>
      <c r="I107" s="130"/>
      <c r="J107" s="130"/>
      <c r="K107" s="130"/>
      <c r="L107" s="130"/>
      <c r="M107" s="130"/>
      <c r="N107" s="130"/>
      <c r="O107" s="130"/>
    </row>
    <row r="108" spans="1:15">
      <c r="A108" s="130">
        <v>93</v>
      </c>
      <c r="B108" s="255" t="s">
        <v>280</v>
      </c>
      <c r="C108" s="256" t="s">
        <v>278</v>
      </c>
      <c r="D108" s="144" t="s">
        <v>509</v>
      </c>
      <c r="E108" s="619"/>
      <c r="F108" s="144" t="s">
        <v>105</v>
      </c>
      <c r="G108" s="173"/>
      <c r="H108" s="130"/>
      <c r="I108" s="130"/>
      <c r="J108" s="130"/>
      <c r="K108" s="130"/>
      <c r="L108" s="130"/>
      <c r="M108" s="130"/>
      <c r="N108" s="130"/>
      <c r="O108" s="130"/>
    </row>
    <row r="109" spans="1:15">
      <c r="A109" s="130"/>
      <c r="B109" s="289" t="s">
        <v>286</v>
      </c>
      <c r="C109" s="288" t="s">
        <v>282</v>
      </c>
      <c r="D109" s="144" t="s">
        <v>283</v>
      </c>
      <c r="E109" s="617"/>
      <c r="F109" s="144" t="s">
        <v>105</v>
      </c>
      <c r="G109" s="173"/>
      <c r="H109" s="130"/>
      <c r="I109" s="130"/>
      <c r="J109" s="130"/>
      <c r="K109" s="130"/>
      <c r="L109" s="130"/>
      <c r="M109" s="130"/>
      <c r="N109" s="130"/>
      <c r="O109" s="130"/>
    </row>
    <row r="110" spans="1:15" ht="18.75" customHeight="1">
      <c r="A110" s="130"/>
      <c r="B110" s="623" t="s">
        <v>281</v>
      </c>
      <c r="C110" s="288" t="s">
        <v>282</v>
      </c>
      <c r="D110" s="144" t="s">
        <v>284</v>
      </c>
      <c r="E110" s="617"/>
      <c r="F110" s="246" t="s">
        <v>112</v>
      </c>
      <c r="G110" s="173"/>
    </row>
    <row r="111" spans="1:15" ht="16.5" customHeight="1">
      <c r="C111" s="288" t="s">
        <v>282</v>
      </c>
      <c r="D111" s="144" t="s">
        <v>285</v>
      </c>
      <c r="E111" s="617"/>
      <c r="F111" s="246" t="s">
        <v>112</v>
      </c>
      <c r="G111" s="173"/>
    </row>
    <row r="112" spans="1:15">
      <c r="C112" s="288" t="s">
        <v>282</v>
      </c>
      <c r="D112" s="144" t="s">
        <v>287</v>
      </c>
      <c r="E112" s="617"/>
      <c r="F112" s="144" t="s">
        <v>105</v>
      </c>
      <c r="G112" s="173"/>
    </row>
  </sheetData>
  <mergeCells count="42">
    <mergeCell ref="K24:L24"/>
    <mergeCell ref="I1:L1"/>
    <mergeCell ref="B3:E3"/>
    <mergeCell ref="B11:E11"/>
    <mergeCell ref="B18:E18"/>
    <mergeCell ref="H23:L23"/>
    <mergeCell ref="K36:L36"/>
    <mergeCell ref="K25:L25"/>
    <mergeCell ref="K26:L26"/>
    <mergeCell ref="K27:L27"/>
    <mergeCell ref="K28:L28"/>
    <mergeCell ref="K29:L29"/>
    <mergeCell ref="K30:L30"/>
    <mergeCell ref="H31:L31"/>
    <mergeCell ref="K32:L32"/>
    <mergeCell ref="K33:L33"/>
    <mergeCell ref="K34:L34"/>
    <mergeCell ref="K35:L35"/>
    <mergeCell ref="H46:L46"/>
    <mergeCell ref="K37:L37"/>
    <mergeCell ref="K38:L38"/>
    <mergeCell ref="K39:L39"/>
    <mergeCell ref="B40:E40"/>
    <mergeCell ref="H40:L40"/>
    <mergeCell ref="H41:L41"/>
    <mergeCell ref="H42:L42"/>
    <mergeCell ref="H43:L43"/>
    <mergeCell ref="B44:E44"/>
    <mergeCell ref="H44:L44"/>
    <mergeCell ref="H45:L45"/>
    <mergeCell ref="B87:E87"/>
    <mergeCell ref="H47:L47"/>
    <mergeCell ref="H48:L48"/>
    <mergeCell ref="B49:E49"/>
    <mergeCell ref="H49:L49"/>
    <mergeCell ref="H50:L50"/>
    <mergeCell ref="H51:L51"/>
    <mergeCell ref="H52:L52"/>
    <mergeCell ref="H53:L53"/>
    <mergeCell ref="B64:E64"/>
    <mergeCell ref="B67:E67"/>
    <mergeCell ref="B76:E76"/>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
  <sheetViews>
    <sheetView topLeftCell="A28" workbookViewId="0">
      <selection activeCell="D44" sqref="D44"/>
    </sheetView>
  </sheetViews>
  <sheetFormatPr defaultRowHeight="14.4"/>
  <cols>
    <col min="1" max="1" width="10.109375" style="109" bestFit="1" customWidth="1"/>
    <col min="2" max="2" width="27.6640625" style="109" customWidth="1"/>
    <col min="3" max="3" width="16.5546875" style="109" customWidth="1"/>
    <col min="4" max="4" width="17" style="109" customWidth="1"/>
    <col min="5" max="5" width="19.44140625" style="109" customWidth="1"/>
    <col min="6" max="6" width="12.6640625" style="109" customWidth="1"/>
    <col min="7" max="7" width="15.44140625" style="109" customWidth="1"/>
    <col min="8" max="8" width="16.6640625" style="109" customWidth="1"/>
    <col min="9" max="9" width="17.109375" style="109" customWidth="1"/>
    <col min="10" max="10" width="15.88671875" style="109" customWidth="1"/>
    <col min="11" max="11" width="18.88671875" style="109" customWidth="1"/>
    <col min="12" max="12" width="14.44140625" style="109" customWidth="1"/>
    <col min="13" max="13" width="10.44140625" style="109" hidden="1" customWidth="1"/>
    <col min="14" max="14" width="0.109375" style="109" hidden="1" customWidth="1"/>
    <col min="15" max="15" width="14.5546875" style="300" hidden="1" customWidth="1"/>
    <col min="16" max="16" width="0.109375" style="109" hidden="1" customWidth="1"/>
    <col min="17" max="17" width="14.44140625" style="109" hidden="1" customWidth="1"/>
    <col min="18" max="18" width="14.33203125" style="109" hidden="1" customWidth="1"/>
    <col min="19" max="19" width="14.44140625" style="109" hidden="1" customWidth="1"/>
    <col min="20" max="16384" width="8.88671875" style="109"/>
  </cols>
  <sheetData>
    <row r="1" spans="1:19" s="110" customFormat="1">
      <c r="A1" s="291">
        <f ca="1">A1+A1:F22+A1:F22+A1:F22+A1:F52+A1:F55:F52</f>
        <v>0</v>
      </c>
      <c r="B1" s="291" t="s">
        <v>288</v>
      </c>
      <c r="C1" s="817" t="s">
        <v>289</v>
      </c>
      <c r="D1" s="818"/>
      <c r="E1" s="818"/>
      <c r="F1" s="819"/>
      <c r="G1" s="817" t="s">
        <v>290</v>
      </c>
      <c r="H1" s="818"/>
      <c r="I1" s="818"/>
      <c r="J1" s="819"/>
      <c r="K1" s="817"/>
      <c r="L1" s="818"/>
      <c r="M1" s="818"/>
      <c r="N1" s="819"/>
      <c r="O1" s="292"/>
      <c r="P1" s="817" t="s">
        <v>291</v>
      </c>
      <c r="Q1" s="818"/>
      <c r="R1" s="818"/>
      <c r="S1" s="819"/>
    </row>
    <row r="2" spans="1:19" ht="28.8">
      <c r="A2" s="298"/>
      <c r="B2" s="293" t="s">
        <v>292</v>
      </c>
      <c r="C2" s="293"/>
      <c r="D2" s="294"/>
      <c r="E2" s="293"/>
      <c r="F2" s="293"/>
      <c r="G2" s="293"/>
      <c r="H2" s="294"/>
      <c r="I2" s="293"/>
      <c r="J2" s="295"/>
      <c r="K2" s="294"/>
      <c r="L2" s="293"/>
      <c r="M2" s="295"/>
      <c r="N2" s="295"/>
      <c r="O2" s="296"/>
      <c r="P2" s="295"/>
      <c r="Q2" s="295"/>
      <c r="R2" s="295"/>
      <c r="S2" s="295"/>
    </row>
    <row r="3" spans="1:19" ht="30" customHeight="1">
      <c r="A3" s="299" t="s">
        <v>293</v>
      </c>
      <c r="B3" s="295" t="s">
        <v>294</v>
      </c>
      <c r="C3" s="293"/>
      <c r="D3" s="287"/>
      <c r="E3" s="287"/>
      <c r="F3" s="295"/>
      <c r="G3" s="293"/>
      <c r="H3" s="287"/>
      <c r="I3" s="287"/>
      <c r="J3" s="295"/>
      <c r="K3" s="287"/>
      <c r="L3" s="287"/>
      <c r="M3" s="295"/>
      <c r="N3" s="295"/>
      <c r="O3" s="296"/>
      <c r="P3" s="295"/>
      <c r="Q3" s="295"/>
      <c r="R3" s="295"/>
      <c r="S3" s="295"/>
    </row>
    <row r="4" spans="1:19" ht="21.6" customHeight="1">
      <c r="A4" s="624"/>
      <c r="B4" s="295" t="s">
        <v>295</v>
      </c>
      <c r="C4" s="295"/>
      <c r="D4" s="287"/>
      <c r="E4" s="287"/>
      <c r="F4" s="295"/>
      <c r="G4" s="295"/>
      <c r="H4" s="287"/>
      <c r="I4" s="287"/>
      <c r="J4" s="295"/>
      <c r="K4" s="287"/>
      <c r="L4" s="287"/>
      <c r="M4" s="295"/>
      <c r="N4" s="295"/>
      <c r="O4" s="296"/>
      <c r="P4" s="295"/>
      <c r="Q4" s="295"/>
      <c r="R4" s="295"/>
      <c r="S4" s="295"/>
    </row>
    <row r="5" spans="1:19" ht="28.8">
      <c r="A5" s="298"/>
      <c r="B5" s="294" t="s">
        <v>292</v>
      </c>
      <c r="C5" s="293"/>
      <c r="D5" s="294"/>
      <c r="E5" s="293"/>
      <c r="F5" s="287"/>
      <c r="G5" s="293"/>
      <c r="H5" s="294"/>
      <c r="I5" s="293"/>
      <c r="J5" s="293"/>
      <c r="K5" s="294"/>
      <c r="L5" s="293"/>
      <c r="M5" s="287"/>
      <c r="N5" s="287"/>
      <c r="O5" s="296"/>
      <c r="P5" s="287"/>
      <c r="Q5" s="287"/>
      <c r="R5" s="287"/>
      <c r="S5" s="287"/>
    </row>
    <row r="6" spans="1:19" ht="28.95" customHeight="1">
      <c r="A6" s="299" t="s">
        <v>296</v>
      </c>
      <c r="B6" s="287" t="s">
        <v>297</v>
      </c>
      <c r="C6" s="293"/>
      <c r="D6" s="287"/>
      <c r="E6" s="287"/>
      <c r="F6" s="287"/>
      <c r="G6" s="293"/>
      <c r="H6" s="287"/>
      <c r="I6" s="287"/>
      <c r="J6" s="293"/>
      <c r="K6" s="287"/>
      <c r="L6" s="287"/>
      <c r="M6" s="287"/>
      <c r="N6" s="287"/>
      <c r="O6" s="296"/>
      <c r="P6" s="287"/>
      <c r="Q6" s="287"/>
      <c r="R6" s="287"/>
      <c r="S6" s="287"/>
    </row>
    <row r="7" spans="1:19">
      <c r="A7" s="624"/>
      <c r="B7" s="287" t="s">
        <v>295</v>
      </c>
      <c r="C7" s="295"/>
      <c r="D7" s="287"/>
      <c r="E7" s="287"/>
      <c r="F7" s="287"/>
      <c r="G7" s="295"/>
      <c r="H7" s="287"/>
      <c r="I7" s="287"/>
      <c r="J7" s="295"/>
      <c r="K7" s="287"/>
      <c r="L7" s="287"/>
      <c r="M7" s="287"/>
      <c r="N7" s="287"/>
      <c r="O7" s="296"/>
      <c r="P7" s="287"/>
      <c r="Q7" s="287"/>
      <c r="R7" s="287"/>
      <c r="S7" s="287"/>
    </row>
    <row r="8" spans="1:19" ht="28.8">
      <c r="A8" s="298"/>
      <c r="B8" s="293" t="s">
        <v>292</v>
      </c>
      <c r="C8" s="301" t="s">
        <v>298</v>
      </c>
      <c r="D8" s="294" t="s">
        <v>299</v>
      </c>
      <c r="E8" s="293" t="s">
        <v>300</v>
      </c>
      <c r="F8" s="295"/>
      <c r="G8" s="293" t="s">
        <v>298</v>
      </c>
      <c r="H8" s="294" t="s">
        <v>299</v>
      </c>
      <c r="I8" s="293" t="s">
        <v>300</v>
      </c>
      <c r="J8" s="293" t="s">
        <v>298</v>
      </c>
      <c r="K8" s="294" t="s">
        <v>299</v>
      </c>
      <c r="L8" s="293" t="s">
        <v>300</v>
      </c>
      <c r="M8" s="295"/>
      <c r="N8" s="295"/>
      <c r="O8" s="296"/>
      <c r="P8" s="295"/>
      <c r="Q8" s="295"/>
      <c r="R8" s="295"/>
      <c r="S8" s="295"/>
    </row>
    <row r="9" spans="1:19" ht="26.4" customHeight="1">
      <c r="A9" s="299" t="s">
        <v>301</v>
      </c>
      <c r="B9" s="295" t="s">
        <v>297</v>
      </c>
      <c r="C9" s="302" t="s">
        <v>302</v>
      </c>
      <c r="D9" s="287" t="s">
        <v>303</v>
      </c>
      <c r="E9" s="294" t="s">
        <v>304</v>
      </c>
      <c r="F9" s="295"/>
      <c r="G9" s="287" t="s">
        <v>304</v>
      </c>
      <c r="H9" s="287" t="s">
        <v>303</v>
      </c>
      <c r="I9" s="287" t="s">
        <v>304</v>
      </c>
      <c r="J9" s="287" t="s">
        <v>304</v>
      </c>
      <c r="K9" s="287" t="s">
        <v>303</v>
      </c>
      <c r="L9" s="287" t="s">
        <v>304</v>
      </c>
      <c r="M9" s="295"/>
      <c r="N9" s="295"/>
      <c r="O9" s="296"/>
      <c r="P9" s="295"/>
      <c r="Q9" s="295"/>
      <c r="R9" s="295"/>
      <c r="S9" s="295"/>
    </row>
    <row r="10" spans="1:19">
      <c r="A10" s="624"/>
      <c r="B10" s="295" t="s">
        <v>295</v>
      </c>
      <c r="C10" s="302" t="s">
        <v>305</v>
      </c>
      <c r="D10" s="287" t="s">
        <v>306</v>
      </c>
      <c r="E10" s="287" t="s">
        <v>306</v>
      </c>
      <c r="F10" s="295"/>
      <c r="G10" s="287" t="s">
        <v>306</v>
      </c>
      <c r="H10" s="287" t="s">
        <v>306</v>
      </c>
      <c r="I10" s="287" t="s">
        <v>306</v>
      </c>
      <c r="J10" s="287" t="s">
        <v>306</v>
      </c>
      <c r="K10" s="287" t="s">
        <v>306</v>
      </c>
      <c r="L10" s="287" t="s">
        <v>306</v>
      </c>
      <c r="M10" s="295"/>
      <c r="N10" s="295"/>
      <c r="O10" s="296"/>
      <c r="P10" s="295"/>
      <c r="Q10" s="295"/>
      <c r="R10" s="295"/>
      <c r="S10" s="295"/>
    </row>
    <row r="11" spans="1:19" ht="28.8">
      <c r="A11" s="298" t="s">
        <v>307</v>
      </c>
      <c r="B11" s="294" t="s">
        <v>292</v>
      </c>
      <c r="C11" s="293" t="s">
        <v>298</v>
      </c>
      <c r="D11" s="294" t="s">
        <v>299</v>
      </c>
      <c r="E11" s="294"/>
      <c r="F11" s="287"/>
      <c r="G11" s="293" t="s">
        <v>298</v>
      </c>
      <c r="H11" s="294" t="s">
        <v>299</v>
      </c>
      <c r="I11" s="294"/>
      <c r="J11" s="293" t="s">
        <v>298</v>
      </c>
      <c r="K11" s="294" t="s">
        <v>299</v>
      </c>
      <c r="L11" s="294"/>
      <c r="M11" s="294"/>
      <c r="N11" s="287"/>
      <c r="O11" s="296"/>
      <c r="P11" s="287"/>
      <c r="Q11" s="287"/>
      <c r="R11" s="287"/>
      <c r="S11" s="287"/>
    </row>
    <row r="12" spans="1:19">
      <c r="A12" s="299"/>
      <c r="B12" s="287" t="s">
        <v>297</v>
      </c>
      <c r="C12" s="287" t="s">
        <v>304</v>
      </c>
      <c r="D12" s="287" t="s">
        <v>303</v>
      </c>
      <c r="E12" s="287"/>
      <c r="F12" s="287"/>
      <c r="G12" s="287" t="s">
        <v>304</v>
      </c>
      <c r="H12" s="287" t="s">
        <v>303</v>
      </c>
      <c r="I12" s="287"/>
      <c r="J12" s="287" t="s">
        <v>304</v>
      </c>
      <c r="K12" s="287" t="s">
        <v>303</v>
      </c>
      <c r="L12" s="287"/>
      <c r="M12" s="287"/>
      <c r="N12" s="287"/>
      <c r="O12" s="296"/>
      <c r="P12" s="287"/>
      <c r="Q12" s="287"/>
      <c r="R12" s="287"/>
      <c r="S12" s="287"/>
    </row>
    <row r="13" spans="1:19">
      <c r="A13" s="624"/>
      <c r="B13" s="287" t="s">
        <v>295</v>
      </c>
      <c r="C13" s="287" t="s">
        <v>306</v>
      </c>
      <c r="D13" s="287" t="s">
        <v>306</v>
      </c>
      <c r="E13" s="287"/>
      <c r="F13" s="287"/>
      <c r="G13" s="287" t="s">
        <v>306</v>
      </c>
      <c r="H13" s="287" t="s">
        <v>306</v>
      </c>
      <c r="I13" s="287"/>
      <c r="J13" s="287" t="s">
        <v>306</v>
      </c>
      <c r="K13" s="287" t="s">
        <v>306</v>
      </c>
      <c r="L13" s="287"/>
      <c r="M13" s="287"/>
      <c r="N13" s="287"/>
      <c r="O13" s="296"/>
      <c r="P13" s="287"/>
      <c r="Q13" s="287"/>
      <c r="R13" s="287"/>
      <c r="S13" s="287"/>
    </row>
    <row r="14" spans="1:19" ht="28.8">
      <c r="A14" s="298"/>
      <c r="B14" s="293" t="s">
        <v>292</v>
      </c>
      <c r="C14" s="297" t="s">
        <v>308</v>
      </c>
      <c r="D14" s="294" t="s">
        <v>299</v>
      </c>
      <c r="E14" s="294" t="s">
        <v>300</v>
      </c>
      <c r="F14" s="295"/>
      <c r="G14" s="295" t="s">
        <v>308</v>
      </c>
      <c r="H14" s="294" t="s">
        <v>299</v>
      </c>
      <c r="I14" s="294" t="s">
        <v>300</v>
      </c>
      <c r="J14" s="295" t="s">
        <v>308</v>
      </c>
      <c r="K14" s="294" t="s">
        <v>299</v>
      </c>
      <c r="L14" s="295" t="s">
        <v>300</v>
      </c>
      <c r="M14" s="294"/>
      <c r="N14" s="295"/>
      <c r="O14" s="296"/>
      <c r="P14" s="295"/>
      <c r="Q14" s="295"/>
      <c r="R14" s="295"/>
      <c r="S14" s="295"/>
    </row>
    <row r="15" spans="1:19">
      <c r="A15" s="299" t="s">
        <v>309</v>
      </c>
      <c r="B15" s="295" t="s">
        <v>297</v>
      </c>
      <c r="C15" s="295" t="s">
        <v>304</v>
      </c>
      <c r="D15" s="287" t="s">
        <v>303</v>
      </c>
      <c r="E15" s="287" t="s">
        <v>304</v>
      </c>
      <c r="F15" s="295"/>
      <c r="G15" s="295" t="s">
        <v>304</v>
      </c>
      <c r="H15" s="287" t="s">
        <v>303</v>
      </c>
      <c r="I15" s="287" t="s">
        <v>304</v>
      </c>
      <c r="J15" s="295" t="s">
        <v>304</v>
      </c>
      <c r="K15" s="287" t="s">
        <v>303</v>
      </c>
      <c r="L15" s="295" t="s">
        <v>304</v>
      </c>
      <c r="M15" s="287"/>
      <c r="N15" s="295"/>
      <c r="O15" s="296"/>
      <c r="P15" s="295"/>
      <c r="Q15" s="295"/>
      <c r="R15" s="295"/>
      <c r="S15" s="295"/>
    </row>
    <row r="16" spans="1:19">
      <c r="A16" s="624"/>
      <c r="B16" s="295" t="s">
        <v>295</v>
      </c>
      <c r="C16" s="295" t="s">
        <v>306</v>
      </c>
      <c r="D16" s="287" t="s">
        <v>306</v>
      </c>
      <c r="E16" s="287" t="s">
        <v>306</v>
      </c>
      <c r="F16" s="295"/>
      <c r="G16" s="295" t="s">
        <v>306</v>
      </c>
      <c r="H16" s="287" t="s">
        <v>306</v>
      </c>
      <c r="I16" s="287" t="s">
        <v>306</v>
      </c>
      <c r="J16" s="295" t="s">
        <v>306</v>
      </c>
      <c r="K16" s="287" t="s">
        <v>306</v>
      </c>
      <c r="L16" s="295" t="s">
        <v>306</v>
      </c>
      <c r="M16" s="287"/>
      <c r="N16" s="295"/>
      <c r="O16" s="296"/>
      <c r="P16" s="295"/>
      <c r="Q16" s="295"/>
      <c r="R16" s="295"/>
      <c r="S16" s="295"/>
    </row>
    <row r="17" spans="1:19" ht="28.8">
      <c r="A17" s="299"/>
      <c r="B17" s="294" t="s">
        <v>292</v>
      </c>
      <c r="C17" s="293" t="s">
        <v>298</v>
      </c>
      <c r="D17" s="294" t="s">
        <v>299</v>
      </c>
      <c r="E17" s="293" t="s">
        <v>300</v>
      </c>
      <c r="F17" s="287"/>
      <c r="G17" s="293" t="s">
        <v>298</v>
      </c>
      <c r="H17" s="294" t="s">
        <v>299</v>
      </c>
      <c r="I17" s="293" t="s">
        <v>300</v>
      </c>
      <c r="J17" s="293" t="s">
        <v>298</v>
      </c>
      <c r="K17" s="294" t="s">
        <v>299</v>
      </c>
      <c r="L17" s="293" t="s">
        <v>300</v>
      </c>
      <c r="M17" s="287"/>
      <c r="N17" s="287"/>
      <c r="O17" s="296"/>
      <c r="P17" s="287"/>
      <c r="Q17" s="287"/>
      <c r="R17" s="287"/>
      <c r="S17" s="287"/>
    </row>
    <row r="18" spans="1:19">
      <c r="A18" s="299" t="s">
        <v>310</v>
      </c>
      <c r="B18" s="287" t="s">
        <v>297</v>
      </c>
      <c r="C18" s="287" t="s">
        <v>304</v>
      </c>
      <c r="D18" s="287" t="s">
        <v>303</v>
      </c>
      <c r="E18" s="287" t="s">
        <v>304</v>
      </c>
      <c r="F18" s="287"/>
      <c r="G18" s="287" t="s">
        <v>304</v>
      </c>
      <c r="H18" s="287" t="s">
        <v>303</v>
      </c>
      <c r="I18" s="287" t="s">
        <v>304</v>
      </c>
      <c r="J18" s="287" t="s">
        <v>304</v>
      </c>
      <c r="K18" s="287" t="s">
        <v>303</v>
      </c>
      <c r="L18" s="287" t="s">
        <v>304</v>
      </c>
      <c r="M18" s="287"/>
      <c r="N18" s="287"/>
      <c r="O18" s="296"/>
      <c r="P18" s="287"/>
      <c r="Q18" s="287"/>
      <c r="R18" s="287"/>
      <c r="S18" s="287"/>
    </row>
    <row r="19" spans="1:19">
      <c r="A19" s="624"/>
      <c r="B19" s="287" t="s">
        <v>295</v>
      </c>
      <c r="C19" s="287" t="s">
        <v>306</v>
      </c>
      <c r="D19" s="287" t="s">
        <v>306</v>
      </c>
      <c r="E19" s="287" t="s">
        <v>306</v>
      </c>
      <c r="F19" s="287"/>
      <c r="G19" s="287" t="s">
        <v>306</v>
      </c>
      <c r="H19" s="287" t="s">
        <v>306</v>
      </c>
      <c r="I19" s="287" t="s">
        <v>306</v>
      </c>
      <c r="J19" s="287" t="s">
        <v>306</v>
      </c>
      <c r="K19" s="287" t="s">
        <v>306</v>
      </c>
      <c r="L19" s="287" t="s">
        <v>306</v>
      </c>
      <c r="M19" s="287"/>
      <c r="N19" s="287"/>
      <c r="O19" s="296"/>
      <c r="P19" s="287"/>
      <c r="Q19" s="287"/>
      <c r="R19" s="287"/>
      <c r="S19" s="287"/>
    </row>
    <row r="20" spans="1:19" ht="28.8">
      <c r="A20" s="298"/>
      <c r="B20" s="293" t="s">
        <v>292</v>
      </c>
      <c r="C20" s="301" t="s">
        <v>298</v>
      </c>
      <c r="D20" s="294" t="s">
        <v>299</v>
      </c>
      <c r="E20" s="293"/>
      <c r="F20" s="295"/>
      <c r="G20" s="293" t="s">
        <v>298</v>
      </c>
      <c r="H20" s="294" t="s">
        <v>299</v>
      </c>
      <c r="I20" s="293"/>
      <c r="J20" s="293" t="s">
        <v>298</v>
      </c>
      <c r="K20" s="294" t="s">
        <v>299</v>
      </c>
      <c r="L20" s="293"/>
      <c r="M20" s="295"/>
      <c r="N20" s="295"/>
      <c r="O20" s="296"/>
      <c r="P20" s="295"/>
      <c r="Q20" s="295"/>
      <c r="R20" s="295"/>
      <c r="S20" s="295"/>
    </row>
    <row r="21" spans="1:19" ht="43.2">
      <c r="A21" s="299" t="s">
        <v>311</v>
      </c>
      <c r="B21" s="295" t="s">
        <v>297</v>
      </c>
      <c r="C21" s="625" t="s">
        <v>510</v>
      </c>
      <c r="D21" s="287" t="s">
        <v>303</v>
      </c>
      <c r="E21" s="287"/>
      <c r="F21" s="295"/>
      <c r="G21" s="287" t="s">
        <v>304</v>
      </c>
      <c r="H21" s="287" t="s">
        <v>303</v>
      </c>
      <c r="I21" s="287"/>
      <c r="J21" s="287" t="s">
        <v>304</v>
      </c>
      <c r="K21" s="287" t="s">
        <v>303</v>
      </c>
      <c r="L21" s="287"/>
      <c r="M21" s="295"/>
      <c r="N21" s="295"/>
      <c r="O21" s="296"/>
      <c r="P21" s="295"/>
      <c r="Q21" s="295"/>
      <c r="R21" s="295"/>
      <c r="S21" s="295"/>
    </row>
    <row r="22" spans="1:19">
      <c r="A22" s="624"/>
      <c r="B22" s="295" t="s">
        <v>295</v>
      </c>
      <c r="C22" s="302" t="s">
        <v>511</v>
      </c>
      <c r="D22" s="287" t="s">
        <v>306</v>
      </c>
      <c r="E22" s="295"/>
      <c r="F22" s="295"/>
      <c r="G22" s="287" t="s">
        <v>306</v>
      </c>
      <c r="H22" s="287" t="s">
        <v>306</v>
      </c>
      <c r="I22" s="293"/>
      <c r="J22" s="287" t="s">
        <v>306</v>
      </c>
      <c r="K22" s="287" t="s">
        <v>306</v>
      </c>
      <c r="L22" s="295"/>
      <c r="M22" s="295"/>
      <c r="N22" s="295"/>
      <c r="O22" s="296"/>
      <c r="P22" s="295"/>
      <c r="Q22" s="295"/>
      <c r="R22" s="295"/>
      <c r="S22" s="295"/>
    </row>
    <row r="23" spans="1:19" ht="28.8">
      <c r="A23" s="298"/>
      <c r="B23" s="294" t="s">
        <v>292</v>
      </c>
      <c r="C23" s="294"/>
      <c r="D23" s="294"/>
      <c r="E23" s="293"/>
      <c r="F23" s="287"/>
      <c r="G23" s="287"/>
      <c r="H23" s="294"/>
      <c r="I23" s="293"/>
      <c r="J23" s="287"/>
      <c r="K23" s="294"/>
      <c r="L23" s="293"/>
      <c r="M23" s="287"/>
      <c r="N23" s="287"/>
      <c r="O23" s="296"/>
      <c r="P23" s="287"/>
      <c r="Q23" s="287"/>
      <c r="R23" s="287"/>
      <c r="S23" s="287"/>
    </row>
    <row r="24" spans="1:19">
      <c r="A24" s="299" t="s">
        <v>312</v>
      </c>
      <c r="B24" s="287" t="s">
        <v>297</v>
      </c>
      <c r="C24" s="287"/>
      <c r="D24" s="287"/>
      <c r="E24" s="287"/>
      <c r="F24" s="287"/>
      <c r="G24" s="287"/>
      <c r="H24" s="287"/>
      <c r="I24" s="287"/>
      <c r="J24" s="287"/>
      <c r="K24" s="287"/>
      <c r="L24" s="287"/>
      <c r="M24" s="287"/>
      <c r="N24" s="287"/>
      <c r="O24" s="296"/>
      <c r="P24" s="287"/>
      <c r="Q24" s="287"/>
      <c r="R24" s="287"/>
      <c r="S24" s="287"/>
    </row>
    <row r="25" spans="1:19">
      <c r="A25" s="624"/>
      <c r="B25" s="287" t="s">
        <v>295</v>
      </c>
      <c r="C25" s="287"/>
      <c r="D25" s="287"/>
      <c r="E25" s="287"/>
      <c r="F25" s="287"/>
      <c r="G25" s="287"/>
      <c r="H25" s="287"/>
      <c r="I25" s="287"/>
      <c r="J25" s="287"/>
      <c r="K25" s="287"/>
      <c r="L25" s="287"/>
      <c r="M25" s="287"/>
      <c r="N25" s="287"/>
      <c r="O25" s="296"/>
      <c r="P25" s="287"/>
      <c r="Q25" s="287"/>
      <c r="R25" s="287"/>
      <c r="S25" s="287"/>
    </row>
    <row r="26" spans="1:19" ht="28.8">
      <c r="A26" s="298"/>
      <c r="B26" s="293" t="s">
        <v>292</v>
      </c>
      <c r="C26" s="294"/>
      <c r="D26" s="293"/>
      <c r="E26" s="293"/>
      <c r="F26" s="295"/>
      <c r="G26" s="295"/>
      <c r="H26" s="293"/>
      <c r="I26" s="293"/>
      <c r="J26" s="295"/>
      <c r="K26" s="293"/>
      <c r="L26" s="293"/>
      <c r="M26" s="295"/>
      <c r="N26" s="295"/>
      <c r="O26" s="296"/>
      <c r="P26" s="295"/>
      <c r="Q26" s="295"/>
      <c r="R26" s="295"/>
      <c r="S26" s="295"/>
    </row>
    <row r="27" spans="1:19">
      <c r="A27" s="299" t="s">
        <v>313</v>
      </c>
      <c r="B27" s="295" t="s">
        <v>297</v>
      </c>
      <c r="C27" s="287"/>
      <c r="D27" s="295"/>
      <c r="E27" s="287"/>
      <c r="F27" s="295"/>
      <c r="G27" s="295"/>
      <c r="H27" s="295"/>
      <c r="I27" s="287"/>
      <c r="J27" s="295"/>
      <c r="K27" s="295"/>
      <c r="L27" s="287"/>
      <c r="M27" s="295"/>
      <c r="N27" s="295"/>
      <c r="O27" s="296"/>
      <c r="P27" s="295"/>
      <c r="Q27" s="295"/>
      <c r="R27" s="295"/>
      <c r="S27" s="295"/>
    </row>
    <row r="28" spans="1:19">
      <c r="A28" s="624"/>
      <c r="B28" s="295" t="s">
        <v>295</v>
      </c>
      <c r="C28" s="287"/>
      <c r="D28" s="295"/>
      <c r="E28" s="287"/>
      <c r="F28" s="295"/>
      <c r="G28" s="295"/>
      <c r="H28" s="295"/>
      <c r="I28" s="287"/>
      <c r="J28" s="295"/>
      <c r="K28" s="295"/>
      <c r="L28" s="287"/>
      <c r="M28" s="295"/>
      <c r="N28" s="295"/>
      <c r="O28" s="296"/>
      <c r="P28" s="295"/>
      <c r="Q28" s="295"/>
      <c r="R28" s="295"/>
      <c r="S28" s="295"/>
    </row>
    <row r="29" spans="1:19" ht="28.8">
      <c r="A29" s="298"/>
      <c r="B29" s="294" t="s">
        <v>292</v>
      </c>
      <c r="C29" s="294"/>
      <c r="D29" s="294"/>
      <c r="E29" s="293"/>
      <c r="F29" s="287"/>
      <c r="G29" s="294"/>
      <c r="H29" s="294"/>
      <c r="I29" s="293"/>
      <c r="J29" s="287"/>
      <c r="K29" s="294"/>
      <c r="L29" s="293"/>
      <c r="M29" s="287"/>
      <c r="N29" s="287"/>
      <c r="O29" s="296"/>
      <c r="P29" s="287"/>
      <c r="Q29" s="287"/>
      <c r="R29" s="287"/>
      <c r="S29" s="287"/>
    </row>
    <row r="30" spans="1:19">
      <c r="A30" s="299" t="s">
        <v>314</v>
      </c>
      <c r="B30" s="287" t="s">
        <v>297</v>
      </c>
      <c r="C30" s="287"/>
      <c r="D30" s="287"/>
      <c r="E30" s="287"/>
      <c r="F30" s="287"/>
      <c r="G30" s="287"/>
      <c r="H30" s="287"/>
      <c r="I30" s="287"/>
      <c r="J30" s="287"/>
      <c r="K30" s="287"/>
      <c r="L30" s="287"/>
      <c r="M30" s="287"/>
      <c r="N30" s="287"/>
      <c r="O30" s="296"/>
      <c r="P30" s="287"/>
      <c r="Q30" s="287"/>
      <c r="R30" s="287"/>
      <c r="S30" s="287"/>
    </row>
    <row r="31" spans="1:19">
      <c r="A31" s="624"/>
      <c r="B31" s="287" t="s">
        <v>295</v>
      </c>
      <c r="C31" s="287"/>
      <c r="D31" s="287"/>
      <c r="E31" s="287"/>
      <c r="F31" s="287"/>
      <c r="G31" s="287"/>
      <c r="H31" s="287"/>
      <c r="I31" s="287"/>
      <c r="J31" s="287"/>
      <c r="K31" s="287"/>
      <c r="L31" s="287"/>
      <c r="M31" s="287"/>
      <c r="N31" s="287"/>
      <c r="O31" s="296"/>
      <c r="P31" s="287"/>
      <c r="Q31" s="287"/>
      <c r="R31" s="287"/>
      <c r="S31" s="287"/>
    </row>
    <row r="32" spans="1:19" ht="28.8">
      <c r="A32" s="814" t="s">
        <v>315</v>
      </c>
      <c r="B32" s="293" t="s">
        <v>292</v>
      </c>
      <c r="C32" s="294"/>
      <c r="D32" s="294"/>
      <c r="E32" s="293" t="s">
        <v>298</v>
      </c>
      <c r="F32" s="295"/>
      <c r="G32" s="295"/>
      <c r="H32" s="294"/>
      <c r="I32" s="293" t="s">
        <v>298</v>
      </c>
      <c r="J32" s="295"/>
      <c r="K32" s="294"/>
      <c r="L32" s="293" t="s">
        <v>298</v>
      </c>
      <c r="M32" s="295"/>
      <c r="N32" s="295"/>
      <c r="O32" s="296"/>
      <c r="P32" s="295"/>
      <c r="Q32" s="295"/>
      <c r="R32" s="295"/>
      <c r="S32" s="295"/>
    </row>
    <row r="33" spans="1:19">
      <c r="A33" s="815"/>
      <c r="B33" s="295" t="s">
        <v>297</v>
      </c>
      <c r="C33" s="287"/>
      <c r="D33" s="287"/>
      <c r="E33" s="287" t="s">
        <v>304</v>
      </c>
      <c r="F33" s="295"/>
      <c r="G33" s="295"/>
      <c r="H33" s="287"/>
      <c r="I33" s="287" t="s">
        <v>304</v>
      </c>
      <c r="J33" s="295"/>
      <c r="K33" s="287"/>
      <c r="L33" s="287" t="s">
        <v>304</v>
      </c>
      <c r="M33" s="295"/>
      <c r="N33" s="295"/>
      <c r="O33" s="296"/>
      <c r="P33" s="295"/>
      <c r="Q33" s="295"/>
      <c r="R33" s="295"/>
      <c r="S33" s="295"/>
    </row>
    <row r="34" spans="1:19">
      <c r="A34" s="816"/>
      <c r="B34" s="295" t="s">
        <v>295</v>
      </c>
      <c r="C34" s="287"/>
      <c r="D34" s="287"/>
      <c r="E34" s="287" t="s">
        <v>306</v>
      </c>
      <c r="F34" s="295"/>
      <c r="G34" s="295"/>
      <c r="H34" s="287"/>
      <c r="I34" s="287" t="s">
        <v>306</v>
      </c>
      <c r="J34" s="295"/>
      <c r="K34" s="287"/>
      <c r="L34" s="287" t="s">
        <v>306</v>
      </c>
      <c r="M34" s="295"/>
      <c r="N34" s="295"/>
      <c r="O34" s="296"/>
      <c r="P34" s="295"/>
      <c r="Q34" s="295"/>
      <c r="R34" s="295"/>
      <c r="S34" s="295"/>
    </row>
    <row r="35" spans="1:19" ht="28.8">
      <c r="A35" s="814" t="s">
        <v>316</v>
      </c>
      <c r="B35" s="294" t="s">
        <v>292</v>
      </c>
      <c r="C35" s="294" t="s">
        <v>512</v>
      </c>
      <c r="D35" s="294" t="s">
        <v>299</v>
      </c>
      <c r="E35" s="625" t="s">
        <v>513</v>
      </c>
      <c r="F35" s="287"/>
      <c r="G35" s="287" t="s">
        <v>300</v>
      </c>
      <c r="H35" s="294" t="s">
        <v>299</v>
      </c>
      <c r="I35" s="287" t="s">
        <v>513</v>
      </c>
      <c r="J35" s="287" t="s">
        <v>300</v>
      </c>
      <c r="K35" s="294" t="s">
        <v>299</v>
      </c>
      <c r="L35" s="287" t="s">
        <v>513</v>
      </c>
      <c r="M35" s="287"/>
      <c r="N35" s="287"/>
      <c r="O35" s="296"/>
      <c r="P35" s="287"/>
      <c r="Q35" s="287"/>
      <c r="R35" s="287"/>
      <c r="S35" s="287"/>
    </row>
    <row r="36" spans="1:19">
      <c r="A36" s="815"/>
      <c r="B36" s="287" t="s">
        <v>297</v>
      </c>
      <c r="C36" s="287" t="s">
        <v>304</v>
      </c>
      <c r="D36" s="287" t="s">
        <v>303</v>
      </c>
      <c r="E36" s="302" t="s">
        <v>514</v>
      </c>
      <c r="F36" s="287"/>
      <c r="G36" s="287" t="s">
        <v>515</v>
      </c>
      <c r="H36" s="287" t="s">
        <v>303</v>
      </c>
      <c r="I36" s="287" t="s">
        <v>304</v>
      </c>
      <c r="J36" s="287" t="s">
        <v>515</v>
      </c>
      <c r="K36" s="287" t="s">
        <v>303</v>
      </c>
      <c r="L36" s="287" t="s">
        <v>304</v>
      </c>
      <c r="M36" s="287"/>
      <c r="N36" s="287"/>
      <c r="O36" s="296"/>
      <c r="P36" s="287"/>
      <c r="Q36" s="287"/>
      <c r="R36" s="287"/>
      <c r="S36" s="287"/>
    </row>
    <row r="37" spans="1:19">
      <c r="A37" s="816"/>
      <c r="B37" s="287" t="s">
        <v>295</v>
      </c>
      <c r="C37" s="287" t="s">
        <v>306</v>
      </c>
      <c r="D37" s="287" t="s">
        <v>306</v>
      </c>
      <c r="E37" s="302" t="s">
        <v>516</v>
      </c>
      <c r="F37" s="287"/>
      <c r="G37" s="287" t="s">
        <v>306</v>
      </c>
      <c r="H37" s="287" t="s">
        <v>306</v>
      </c>
      <c r="I37" s="287" t="s">
        <v>306</v>
      </c>
      <c r="J37" s="287" t="s">
        <v>306</v>
      </c>
      <c r="K37" s="287" t="s">
        <v>306</v>
      </c>
      <c r="L37" s="287" t="s">
        <v>306</v>
      </c>
      <c r="M37" s="287"/>
      <c r="N37" s="287"/>
      <c r="O37" s="296"/>
      <c r="P37" s="287"/>
      <c r="Q37" s="287"/>
      <c r="R37" s="287"/>
      <c r="S37" s="287"/>
    </row>
    <row r="38" spans="1:19" ht="28.8">
      <c r="A38" s="814" t="s">
        <v>317</v>
      </c>
      <c r="B38" s="293" t="s">
        <v>292</v>
      </c>
      <c r="C38" s="293" t="s">
        <v>512</v>
      </c>
      <c r="D38" s="294" t="s">
        <v>299</v>
      </c>
      <c r="E38" s="293" t="s">
        <v>513</v>
      </c>
      <c r="F38" s="295"/>
      <c r="G38" s="295" t="s">
        <v>300</v>
      </c>
      <c r="H38" s="294" t="s">
        <v>299</v>
      </c>
      <c r="I38" s="293" t="s">
        <v>513</v>
      </c>
      <c r="J38" s="295" t="s">
        <v>300</v>
      </c>
      <c r="K38" s="294" t="s">
        <v>299</v>
      </c>
      <c r="L38" s="293" t="s">
        <v>513</v>
      </c>
      <c r="M38" s="295"/>
      <c r="N38" s="295"/>
      <c r="O38" s="296"/>
      <c r="P38" s="295"/>
      <c r="Q38" s="295"/>
      <c r="R38" s="295"/>
      <c r="S38" s="295"/>
    </row>
    <row r="39" spans="1:19">
      <c r="A39" s="815"/>
      <c r="B39" s="295" t="s">
        <v>297</v>
      </c>
      <c r="C39" s="295" t="s">
        <v>304</v>
      </c>
      <c r="D39" s="287" t="s">
        <v>303</v>
      </c>
      <c r="E39" s="287" t="s">
        <v>304</v>
      </c>
      <c r="F39" s="295"/>
      <c r="G39" s="295" t="s">
        <v>515</v>
      </c>
      <c r="H39" s="287" t="s">
        <v>303</v>
      </c>
      <c r="I39" s="287" t="s">
        <v>304</v>
      </c>
      <c r="J39" s="295" t="s">
        <v>515</v>
      </c>
      <c r="K39" s="287" t="s">
        <v>303</v>
      </c>
      <c r="L39" s="287" t="s">
        <v>304</v>
      </c>
      <c r="M39" s="295"/>
      <c r="N39" s="295"/>
      <c r="O39" s="296"/>
      <c r="P39" s="295"/>
      <c r="Q39" s="295"/>
      <c r="R39" s="295"/>
      <c r="S39" s="295"/>
    </row>
    <row r="40" spans="1:19">
      <c r="A40" s="816"/>
      <c r="B40" s="295" t="s">
        <v>295</v>
      </c>
      <c r="C40" s="295" t="s">
        <v>306</v>
      </c>
      <c r="D40" s="287" t="s">
        <v>306</v>
      </c>
      <c r="E40" s="287" t="s">
        <v>306</v>
      </c>
      <c r="F40" s="295"/>
      <c r="G40" s="295" t="s">
        <v>306</v>
      </c>
      <c r="H40" s="287" t="s">
        <v>306</v>
      </c>
      <c r="I40" s="287" t="s">
        <v>306</v>
      </c>
      <c r="J40" s="295" t="s">
        <v>306</v>
      </c>
      <c r="K40" s="287" t="s">
        <v>306</v>
      </c>
      <c r="L40" s="287" t="s">
        <v>306</v>
      </c>
      <c r="M40" s="295"/>
      <c r="N40" s="295"/>
      <c r="O40" s="296"/>
      <c r="P40" s="295"/>
      <c r="Q40" s="295"/>
      <c r="R40" s="295"/>
      <c r="S40" s="295"/>
    </row>
    <row r="41" spans="1:19" ht="28.8">
      <c r="A41" s="814" t="s">
        <v>318</v>
      </c>
      <c r="B41" s="294" t="s">
        <v>292</v>
      </c>
      <c r="C41" s="294"/>
      <c r="D41" s="294"/>
      <c r="E41" s="293"/>
      <c r="F41" s="287"/>
      <c r="G41" s="294"/>
      <c r="H41" s="294"/>
      <c r="I41" s="293"/>
      <c r="J41" s="294"/>
      <c r="K41" s="294"/>
      <c r="L41" s="293"/>
      <c r="M41" s="287"/>
      <c r="N41" s="287"/>
      <c r="O41" s="296"/>
      <c r="P41" s="287"/>
      <c r="Q41" s="287"/>
      <c r="R41" s="287"/>
      <c r="S41" s="287"/>
    </row>
    <row r="42" spans="1:19">
      <c r="A42" s="815"/>
      <c r="B42" s="287" t="s">
        <v>297</v>
      </c>
      <c r="C42" s="287"/>
      <c r="D42" s="287"/>
      <c r="E42" s="287"/>
      <c r="F42" s="287"/>
      <c r="G42" s="287"/>
      <c r="H42" s="287"/>
      <c r="I42" s="287"/>
      <c r="J42" s="287"/>
      <c r="K42" s="287"/>
      <c r="L42" s="287"/>
      <c r="M42" s="287"/>
      <c r="N42" s="287"/>
      <c r="O42" s="296"/>
      <c r="P42" s="287"/>
      <c r="Q42" s="287"/>
      <c r="R42" s="287"/>
      <c r="S42" s="287"/>
    </row>
    <row r="43" spans="1:19">
      <c r="A43" s="816"/>
      <c r="B43" s="287" t="s">
        <v>295</v>
      </c>
      <c r="C43" s="287"/>
      <c r="D43" s="287"/>
      <c r="E43" s="287"/>
      <c r="F43" s="287"/>
      <c r="G43" s="287"/>
      <c r="H43" s="287"/>
      <c r="I43" s="287"/>
      <c r="J43" s="287"/>
      <c r="K43" s="287"/>
      <c r="L43" s="287"/>
      <c r="M43" s="287"/>
      <c r="N43" s="287"/>
      <c r="O43" s="296"/>
      <c r="P43" s="287"/>
      <c r="Q43" s="287"/>
      <c r="R43" s="287"/>
      <c r="S43" s="287"/>
    </row>
    <row r="44" spans="1:19" ht="28.8">
      <c r="A44" s="814" t="s">
        <v>319</v>
      </c>
      <c r="B44" s="293" t="s">
        <v>292</v>
      </c>
      <c r="C44" s="293"/>
      <c r="D44" s="293"/>
      <c r="E44" s="293"/>
      <c r="F44" s="295"/>
      <c r="G44" s="293"/>
      <c r="H44" s="293"/>
      <c r="I44" s="293"/>
      <c r="J44" s="293"/>
      <c r="K44" s="293"/>
      <c r="L44" s="293"/>
      <c r="M44" s="294"/>
      <c r="N44" s="295"/>
      <c r="O44" s="296"/>
      <c r="P44" s="295"/>
      <c r="Q44" s="295"/>
      <c r="R44" s="295"/>
      <c r="S44" s="295"/>
    </row>
    <row r="45" spans="1:19">
      <c r="A45" s="815"/>
      <c r="B45" s="295" t="s">
        <v>297</v>
      </c>
      <c r="C45" s="287"/>
      <c r="D45" s="295"/>
      <c r="E45" s="294"/>
      <c r="F45" s="295"/>
      <c r="G45" s="287"/>
      <c r="H45" s="295"/>
      <c r="I45" s="287"/>
      <c r="J45" s="287"/>
      <c r="K45" s="295"/>
      <c r="L45" s="287"/>
      <c r="M45" s="287"/>
      <c r="N45" s="295"/>
      <c r="O45" s="296"/>
      <c r="P45" s="295"/>
      <c r="Q45" s="295"/>
      <c r="R45" s="295"/>
      <c r="S45" s="295"/>
    </row>
    <row r="46" spans="1:19">
      <c r="A46" s="816"/>
      <c r="B46" s="295" t="s">
        <v>295</v>
      </c>
      <c r="C46" s="287"/>
      <c r="D46" s="295"/>
      <c r="E46" s="287"/>
      <c r="F46" s="295"/>
      <c r="G46" s="287"/>
      <c r="H46" s="295"/>
      <c r="I46" s="287"/>
      <c r="J46" s="287"/>
      <c r="K46" s="295"/>
      <c r="L46" s="287"/>
      <c r="M46" s="287"/>
      <c r="N46" s="295"/>
      <c r="O46" s="296"/>
      <c r="P46" s="295"/>
      <c r="Q46" s="295"/>
      <c r="R46" s="295"/>
      <c r="S46" s="295"/>
    </row>
    <row r="47" spans="1:19" ht="28.8">
      <c r="A47" s="814" t="s">
        <v>320</v>
      </c>
      <c r="B47" s="294" t="s">
        <v>292</v>
      </c>
      <c r="C47" s="293"/>
      <c r="D47" s="294"/>
      <c r="E47" s="293"/>
      <c r="F47" s="287"/>
      <c r="G47" s="293"/>
      <c r="H47" s="294"/>
      <c r="I47" s="293"/>
      <c r="J47" s="293"/>
      <c r="K47" s="294"/>
      <c r="L47" s="293"/>
      <c r="M47" s="294"/>
      <c r="N47" s="287"/>
      <c r="O47" s="296"/>
      <c r="P47" s="287"/>
      <c r="Q47" s="287"/>
      <c r="R47" s="287"/>
      <c r="S47" s="287"/>
    </row>
    <row r="48" spans="1:19">
      <c r="A48" s="815"/>
      <c r="B48" s="287" t="s">
        <v>297</v>
      </c>
      <c r="C48" s="287"/>
      <c r="D48" s="287"/>
      <c r="E48" s="287"/>
      <c r="F48" s="287"/>
      <c r="G48" s="287"/>
      <c r="H48" s="287"/>
      <c r="I48" s="287"/>
      <c r="J48" s="287"/>
      <c r="K48" s="287"/>
      <c r="L48" s="287"/>
      <c r="M48" s="287"/>
      <c r="N48" s="287"/>
      <c r="O48" s="296"/>
      <c r="P48" s="287"/>
      <c r="Q48" s="287"/>
      <c r="R48" s="287"/>
      <c r="S48" s="287"/>
    </row>
    <row r="49" spans="1:19">
      <c r="A49" s="816"/>
      <c r="B49" s="287" t="s">
        <v>295</v>
      </c>
      <c r="C49" s="287"/>
      <c r="D49" s="287"/>
      <c r="E49" s="287"/>
      <c r="F49" s="287"/>
      <c r="G49" s="287"/>
      <c r="H49" s="287"/>
      <c r="I49" s="287"/>
      <c r="J49" s="287"/>
      <c r="K49" s="287"/>
      <c r="L49" s="287"/>
      <c r="M49" s="287"/>
      <c r="N49" s="287"/>
      <c r="O49" s="296"/>
      <c r="P49" s="287"/>
      <c r="Q49" s="287"/>
      <c r="R49" s="287"/>
      <c r="S49" s="287"/>
    </row>
    <row r="50" spans="1:19" ht="28.8">
      <c r="A50" s="814" t="s">
        <v>321</v>
      </c>
      <c r="B50" s="293" t="s">
        <v>292</v>
      </c>
      <c r="C50" s="293"/>
      <c r="D50" s="293"/>
      <c r="E50" s="293"/>
      <c r="F50" s="295"/>
      <c r="G50" s="293"/>
      <c r="H50" s="293"/>
      <c r="I50" s="293"/>
      <c r="J50" s="293"/>
      <c r="K50" s="293"/>
      <c r="L50" s="293"/>
      <c r="M50" s="294"/>
      <c r="N50" s="295"/>
      <c r="O50" s="296"/>
      <c r="P50" s="295"/>
      <c r="Q50" s="295"/>
      <c r="R50" s="295"/>
      <c r="S50" s="295"/>
    </row>
    <row r="51" spans="1:19">
      <c r="A51" s="815"/>
      <c r="B51" s="295" t="s">
        <v>297</v>
      </c>
      <c r="C51" s="287"/>
      <c r="D51" s="295"/>
      <c r="E51" s="287"/>
      <c r="F51" s="295"/>
      <c r="G51" s="287"/>
      <c r="H51" s="295"/>
      <c r="I51" s="287"/>
      <c r="J51" s="287"/>
      <c r="K51" s="295"/>
      <c r="L51" s="287"/>
      <c r="M51" s="287"/>
      <c r="N51" s="295"/>
      <c r="O51" s="296"/>
      <c r="P51" s="295"/>
      <c r="Q51" s="295"/>
      <c r="R51" s="295"/>
      <c r="S51" s="295"/>
    </row>
    <row r="52" spans="1:19">
      <c r="A52" s="816"/>
      <c r="B52" s="295" t="s">
        <v>295</v>
      </c>
      <c r="C52" s="287"/>
      <c r="D52" s="295"/>
      <c r="E52" s="287"/>
      <c r="F52" s="295"/>
      <c r="G52" s="287"/>
      <c r="H52" s="295"/>
      <c r="I52" s="287"/>
      <c r="J52" s="294"/>
      <c r="K52" s="295"/>
      <c r="L52" s="287"/>
      <c r="M52" s="287"/>
      <c r="N52" s="295"/>
      <c r="O52" s="296"/>
      <c r="P52" s="295"/>
      <c r="Q52" s="295"/>
      <c r="R52" s="295"/>
      <c r="S52" s="295"/>
    </row>
    <row r="53" spans="1:19" ht="28.8">
      <c r="A53" s="814" t="s">
        <v>322</v>
      </c>
      <c r="B53" s="294" t="s">
        <v>292</v>
      </c>
      <c r="C53" s="293"/>
      <c r="D53" s="294"/>
      <c r="E53" s="294"/>
      <c r="F53" s="287"/>
      <c r="G53" s="293"/>
      <c r="H53" s="294"/>
      <c r="I53" s="294"/>
      <c r="J53" s="293"/>
      <c r="K53" s="294"/>
      <c r="L53" s="287"/>
      <c r="M53" s="294"/>
      <c r="N53" s="287"/>
      <c r="O53" s="296"/>
      <c r="P53" s="287"/>
      <c r="Q53" s="287"/>
      <c r="R53" s="287"/>
      <c r="S53" s="287"/>
    </row>
    <row r="54" spans="1:19">
      <c r="A54" s="815"/>
      <c r="B54" s="287" t="s">
        <v>297</v>
      </c>
      <c r="C54" s="287"/>
      <c r="D54" s="287"/>
      <c r="E54" s="287"/>
      <c r="F54" s="287"/>
      <c r="G54" s="287"/>
      <c r="H54" s="287"/>
      <c r="I54" s="287"/>
      <c r="J54" s="287"/>
      <c r="K54" s="287"/>
      <c r="L54" s="287"/>
      <c r="M54" s="287"/>
      <c r="N54" s="287"/>
      <c r="O54" s="296"/>
      <c r="P54" s="287"/>
      <c r="Q54" s="287"/>
      <c r="R54" s="287"/>
      <c r="S54" s="287"/>
    </row>
    <row r="55" spans="1:19">
      <c r="A55" s="816"/>
      <c r="B55" s="287" t="s">
        <v>295</v>
      </c>
      <c r="C55" s="287"/>
      <c r="D55" s="287"/>
      <c r="E55" s="287"/>
      <c r="F55" s="287"/>
      <c r="G55" s="287"/>
      <c r="H55" s="287"/>
      <c r="I55" s="287"/>
      <c r="J55" s="287"/>
      <c r="K55" s="287"/>
      <c r="L55" s="287"/>
      <c r="M55" s="287"/>
      <c r="N55" s="287"/>
      <c r="O55" s="296"/>
      <c r="P55" s="287"/>
      <c r="Q55" s="287"/>
      <c r="R55" s="287"/>
      <c r="S55" s="287"/>
    </row>
    <row r="56" spans="1:19" ht="28.8">
      <c r="A56" s="814" t="s">
        <v>323</v>
      </c>
      <c r="B56" s="293" t="s">
        <v>292</v>
      </c>
      <c r="C56" s="293"/>
      <c r="D56" s="293"/>
      <c r="E56" s="293"/>
      <c r="F56" s="295"/>
      <c r="G56" s="293"/>
      <c r="H56" s="295"/>
      <c r="I56" s="295"/>
      <c r="J56" s="293"/>
      <c r="K56" s="295"/>
      <c r="L56" s="295"/>
      <c r="M56" s="295"/>
      <c r="N56" s="295"/>
      <c r="O56" s="296"/>
      <c r="P56" s="295"/>
      <c r="Q56" s="295"/>
      <c r="R56" s="295"/>
      <c r="S56" s="295"/>
    </row>
    <row r="57" spans="1:19">
      <c r="A57" s="815"/>
      <c r="B57" s="295" t="s">
        <v>297</v>
      </c>
      <c r="C57" s="287"/>
      <c r="D57" s="295"/>
      <c r="E57" s="295"/>
      <c r="F57" s="295"/>
      <c r="G57" s="287"/>
      <c r="H57" s="295"/>
      <c r="I57" s="295"/>
      <c r="J57" s="287"/>
      <c r="K57" s="295"/>
      <c r="L57" s="295"/>
      <c r="M57" s="295"/>
      <c r="N57" s="295"/>
      <c r="O57" s="296"/>
      <c r="P57" s="295"/>
      <c r="Q57" s="295"/>
      <c r="R57" s="295"/>
      <c r="S57" s="295"/>
    </row>
    <row r="58" spans="1:19">
      <c r="A58" s="816"/>
      <c r="B58" s="295" t="s">
        <v>295</v>
      </c>
      <c r="C58" s="287"/>
      <c r="D58" s="295"/>
      <c r="E58" s="295"/>
      <c r="F58" s="295"/>
      <c r="G58" s="287"/>
      <c r="H58" s="295"/>
      <c r="I58" s="295"/>
      <c r="J58" s="287"/>
      <c r="K58" s="295"/>
      <c r="L58" s="295"/>
      <c r="M58" s="295"/>
      <c r="N58" s="295"/>
      <c r="O58" s="296"/>
      <c r="P58" s="295"/>
      <c r="Q58" s="295"/>
      <c r="R58" s="295"/>
      <c r="S58" s="295"/>
    </row>
    <row r="59" spans="1:19" ht="28.8">
      <c r="A59" s="814" t="s">
        <v>324</v>
      </c>
      <c r="B59" s="294" t="s">
        <v>292</v>
      </c>
      <c r="C59" s="293"/>
      <c r="D59" s="294"/>
      <c r="E59" s="294"/>
      <c r="F59" s="287"/>
      <c r="G59" s="293"/>
      <c r="H59" s="294"/>
      <c r="I59" s="287"/>
      <c r="J59" s="293"/>
      <c r="K59" s="294"/>
      <c r="L59" s="287"/>
      <c r="M59" s="287"/>
      <c r="N59" s="287"/>
      <c r="O59" s="296"/>
      <c r="P59" s="287"/>
      <c r="Q59" s="287"/>
      <c r="R59" s="287"/>
      <c r="S59" s="287"/>
    </row>
    <row r="60" spans="1:19">
      <c r="A60" s="815"/>
      <c r="B60" s="287" t="s">
        <v>297</v>
      </c>
      <c r="C60" s="287"/>
      <c r="D60" s="287"/>
      <c r="E60" s="287"/>
      <c r="F60" s="287"/>
      <c r="G60" s="287"/>
      <c r="H60" s="287"/>
      <c r="I60" s="287"/>
      <c r="J60" s="287"/>
      <c r="K60" s="287"/>
      <c r="L60" s="287"/>
      <c r="M60" s="287"/>
      <c r="N60" s="287"/>
      <c r="O60" s="296"/>
      <c r="P60" s="287"/>
      <c r="Q60" s="287"/>
      <c r="R60" s="287"/>
      <c r="S60" s="287"/>
    </row>
    <row r="61" spans="1:19">
      <c r="A61" s="816"/>
      <c r="B61" s="287" t="s">
        <v>295</v>
      </c>
      <c r="C61" s="287"/>
      <c r="D61" s="287"/>
      <c r="E61" s="287"/>
      <c r="F61" s="287"/>
      <c r="G61" s="287"/>
      <c r="H61" s="287"/>
      <c r="I61" s="287"/>
      <c r="J61" s="287"/>
      <c r="K61" s="287"/>
      <c r="L61" s="287"/>
      <c r="M61" s="287"/>
      <c r="N61" s="287"/>
      <c r="O61" s="296"/>
      <c r="P61" s="287"/>
      <c r="Q61" s="287"/>
      <c r="R61" s="287"/>
      <c r="S61" s="287"/>
    </row>
    <row r="62" spans="1:19" ht="28.8">
      <c r="A62" s="814" t="s">
        <v>325</v>
      </c>
      <c r="B62" s="294" t="s">
        <v>292</v>
      </c>
      <c r="C62" s="293"/>
      <c r="D62" s="294"/>
      <c r="E62" s="294"/>
      <c r="F62" s="287"/>
      <c r="G62" s="293"/>
      <c r="H62" s="294"/>
      <c r="I62" s="287"/>
      <c r="J62" s="293"/>
      <c r="K62" s="294"/>
      <c r="L62" s="287"/>
    </row>
    <row r="63" spans="1:19">
      <c r="A63" s="815"/>
      <c r="B63" s="287" t="s">
        <v>297</v>
      </c>
      <c r="C63" s="287"/>
      <c r="D63" s="287"/>
      <c r="E63" s="287"/>
      <c r="F63" s="287"/>
      <c r="G63" s="287"/>
      <c r="H63" s="287"/>
      <c r="I63" s="287"/>
      <c r="J63" s="287"/>
      <c r="K63" s="287"/>
      <c r="L63" s="287"/>
    </row>
    <row r="64" spans="1:19">
      <c r="A64" s="816"/>
      <c r="B64" s="287" t="s">
        <v>295</v>
      </c>
      <c r="C64" s="287"/>
      <c r="D64" s="287"/>
      <c r="E64" s="287"/>
      <c r="F64" s="287"/>
      <c r="G64" s="287"/>
      <c r="H64" s="287"/>
      <c r="I64" s="287"/>
      <c r="J64" s="287"/>
      <c r="K64" s="287"/>
      <c r="L64" s="287"/>
    </row>
    <row r="65" spans="1:19" ht="28.8">
      <c r="A65" s="814" t="s">
        <v>326</v>
      </c>
      <c r="B65" s="294" t="s">
        <v>292</v>
      </c>
      <c r="C65" s="293"/>
      <c r="D65" s="294"/>
      <c r="E65" s="293"/>
      <c r="F65" s="287"/>
      <c r="G65" s="293"/>
      <c r="H65" s="294"/>
      <c r="I65" s="293"/>
      <c r="J65" s="293"/>
      <c r="K65" s="294"/>
      <c r="L65" s="293"/>
    </row>
    <row r="66" spans="1:19">
      <c r="A66" s="815"/>
      <c r="B66" s="287" t="s">
        <v>297</v>
      </c>
      <c r="C66" s="287"/>
      <c r="D66" s="287"/>
      <c r="E66" s="287"/>
      <c r="F66" s="287"/>
      <c r="G66" s="287"/>
      <c r="H66" s="287"/>
      <c r="I66" s="287"/>
      <c r="J66" s="287"/>
      <c r="K66" s="287"/>
      <c r="L66" s="287"/>
    </row>
    <row r="67" spans="1:19">
      <c r="A67" s="816"/>
      <c r="B67" s="287" t="s">
        <v>295</v>
      </c>
      <c r="C67" s="287"/>
      <c r="D67" s="287"/>
      <c r="E67" s="287"/>
      <c r="F67" s="287"/>
      <c r="G67" s="287"/>
      <c r="H67" s="287"/>
      <c r="I67" s="287"/>
      <c r="J67" s="287"/>
      <c r="K67" s="287"/>
      <c r="L67" s="287"/>
    </row>
    <row r="68" spans="1:19" ht="28.8">
      <c r="A68" s="814" t="s">
        <v>327</v>
      </c>
      <c r="B68" s="294" t="s">
        <v>292</v>
      </c>
      <c r="C68" s="294"/>
      <c r="D68" s="294"/>
      <c r="E68" s="293"/>
      <c r="F68" s="287"/>
      <c r="G68" s="287"/>
      <c r="H68" s="294"/>
      <c r="I68" s="293"/>
      <c r="J68" s="287"/>
      <c r="K68" s="294"/>
      <c r="L68" s="293"/>
    </row>
    <row r="69" spans="1:19">
      <c r="A69" s="815"/>
      <c r="B69" s="287" t="s">
        <v>297</v>
      </c>
      <c r="C69" s="287"/>
      <c r="D69" s="287"/>
      <c r="E69" s="287"/>
      <c r="F69" s="287"/>
      <c r="G69" s="287"/>
      <c r="H69" s="287"/>
      <c r="I69" s="287"/>
      <c r="J69" s="287"/>
      <c r="K69" s="287"/>
      <c r="L69" s="287"/>
    </row>
    <row r="70" spans="1:19">
      <c r="A70" s="816"/>
      <c r="B70" s="287" t="s">
        <v>295</v>
      </c>
      <c r="C70" s="287"/>
      <c r="D70" s="287"/>
      <c r="E70" s="287"/>
      <c r="F70" s="287"/>
      <c r="G70" s="287"/>
      <c r="H70" s="287"/>
      <c r="I70" s="287"/>
      <c r="J70" s="287"/>
      <c r="K70" s="287"/>
      <c r="L70" s="287"/>
    </row>
    <row r="71" spans="1:19" ht="28.8">
      <c r="A71" s="814" t="s">
        <v>328</v>
      </c>
      <c r="B71" s="294" t="s">
        <v>292</v>
      </c>
      <c r="C71" s="293"/>
      <c r="D71" s="294"/>
      <c r="E71" s="293"/>
      <c r="F71" s="287"/>
      <c r="G71" s="293"/>
      <c r="H71" s="294"/>
      <c r="I71" s="293"/>
      <c r="J71" s="293"/>
      <c r="K71" s="294"/>
      <c r="L71" s="293"/>
    </row>
    <row r="72" spans="1:19">
      <c r="A72" s="815"/>
      <c r="B72" s="287" t="s">
        <v>297</v>
      </c>
      <c r="C72" s="287"/>
      <c r="D72" s="287"/>
      <c r="E72" s="287"/>
      <c r="F72" s="287"/>
      <c r="G72" s="287"/>
      <c r="H72" s="287"/>
      <c r="I72" s="287"/>
      <c r="J72" s="287"/>
      <c r="K72" s="287"/>
      <c r="L72" s="287"/>
    </row>
    <row r="73" spans="1:19">
      <c r="A73" s="816"/>
      <c r="B73" s="287" t="s">
        <v>295</v>
      </c>
      <c r="C73" s="287"/>
      <c r="D73" s="287"/>
      <c r="E73" s="287"/>
      <c r="F73" s="287"/>
      <c r="G73" s="287"/>
      <c r="H73" s="287"/>
      <c r="I73" s="287"/>
      <c r="J73" s="287"/>
      <c r="K73" s="287"/>
      <c r="L73" s="287"/>
    </row>
    <row r="74" spans="1:19" ht="28.8">
      <c r="A74" s="814" t="s">
        <v>329</v>
      </c>
      <c r="B74" s="294" t="s">
        <v>292</v>
      </c>
      <c r="C74" s="294"/>
      <c r="D74" s="294"/>
      <c r="E74" s="293"/>
      <c r="F74" s="287"/>
      <c r="G74" s="294"/>
      <c r="H74" s="294"/>
      <c r="I74" s="293"/>
      <c r="J74" s="294"/>
      <c r="K74" s="294"/>
      <c r="L74" s="293"/>
    </row>
    <row r="75" spans="1:19">
      <c r="A75" s="815"/>
      <c r="B75" s="287" t="s">
        <v>297</v>
      </c>
      <c r="C75" s="287"/>
      <c r="D75" s="287"/>
      <c r="E75" s="287"/>
      <c r="F75" s="287"/>
      <c r="G75" s="287"/>
      <c r="H75" s="287"/>
      <c r="I75" s="287"/>
      <c r="J75" s="287"/>
      <c r="K75" s="287"/>
      <c r="L75" s="287"/>
    </row>
    <row r="76" spans="1:19">
      <c r="B76" s="287" t="s">
        <v>295</v>
      </c>
      <c r="C76" s="287"/>
      <c r="D76" s="287"/>
      <c r="E76" s="287"/>
      <c r="F76" s="287"/>
      <c r="G76" s="287"/>
      <c r="H76" s="287"/>
      <c r="I76" s="287"/>
      <c r="J76" s="287"/>
      <c r="K76" s="287"/>
      <c r="L76" s="287"/>
    </row>
    <row r="77" spans="1:19" ht="28.8">
      <c r="A77" s="298" t="s">
        <v>330</v>
      </c>
      <c r="B77" s="293" t="s">
        <v>292</v>
      </c>
      <c r="C77" s="294"/>
      <c r="D77" s="294"/>
      <c r="E77" s="294"/>
      <c r="F77" s="295"/>
      <c r="G77" s="294"/>
      <c r="H77" s="294"/>
      <c r="I77" s="294"/>
      <c r="J77" s="294"/>
      <c r="K77" s="294"/>
      <c r="L77" s="295"/>
      <c r="M77" s="294"/>
      <c r="N77" s="295"/>
      <c r="O77" s="296"/>
      <c r="P77" s="295"/>
      <c r="Q77" s="295"/>
      <c r="R77" s="295"/>
      <c r="S77" s="295"/>
    </row>
    <row r="78" spans="1:19">
      <c r="A78" s="814"/>
      <c r="B78" s="295" t="s">
        <v>297</v>
      </c>
      <c r="C78" s="287"/>
      <c r="D78" s="287"/>
      <c r="E78" s="287"/>
      <c r="F78" s="295"/>
      <c r="G78" s="287"/>
      <c r="H78" s="287"/>
      <c r="I78" s="287"/>
      <c r="J78" s="287"/>
      <c r="K78" s="287"/>
      <c r="L78" s="295"/>
      <c r="M78" s="287"/>
      <c r="N78" s="295"/>
      <c r="O78" s="296"/>
      <c r="P78" s="295"/>
      <c r="Q78" s="295"/>
      <c r="R78" s="295"/>
      <c r="S78" s="295"/>
    </row>
    <row r="79" spans="1:19">
      <c r="A79" s="815"/>
      <c r="B79" s="295" t="s">
        <v>295</v>
      </c>
      <c r="C79" s="287"/>
      <c r="D79" s="287"/>
      <c r="E79" s="287"/>
      <c r="F79" s="295"/>
      <c r="G79" s="287"/>
      <c r="H79" s="287"/>
      <c r="I79" s="287"/>
      <c r="J79" s="287"/>
      <c r="K79" s="287"/>
      <c r="L79" s="295"/>
      <c r="M79" s="287"/>
      <c r="N79" s="295"/>
      <c r="O79" s="296"/>
      <c r="P79" s="295"/>
      <c r="Q79" s="295"/>
      <c r="R79" s="295"/>
      <c r="S79" s="295"/>
    </row>
    <row r="80" spans="1:19" ht="28.8">
      <c r="A80" s="816"/>
      <c r="B80" s="294" t="s">
        <v>292</v>
      </c>
      <c r="C80" s="294"/>
      <c r="D80" s="294"/>
      <c r="E80" s="293"/>
      <c r="F80" s="287"/>
      <c r="G80" s="287"/>
      <c r="H80" s="294"/>
      <c r="I80" s="293"/>
      <c r="J80" s="287"/>
      <c r="K80" s="294"/>
      <c r="L80" s="293"/>
      <c r="M80" s="287"/>
      <c r="N80" s="287"/>
      <c r="O80" s="296"/>
      <c r="P80" s="287"/>
      <c r="Q80" s="287"/>
      <c r="R80" s="287"/>
      <c r="S80" s="287"/>
    </row>
    <row r="81" spans="1:19">
      <c r="A81" s="299" t="s">
        <v>331</v>
      </c>
      <c r="B81" s="287" t="s">
        <v>297</v>
      </c>
      <c r="C81" s="287"/>
      <c r="D81" s="287"/>
      <c r="E81" s="287"/>
      <c r="F81" s="287"/>
      <c r="G81" s="287"/>
      <c r="H81" s="287"/>
      <c r="I81" s="287"/>
      <c r="J81" s="287"/>
      <c r="K81" s="287"/>
      <c r="L81" s="287"/>
      <c r="M81" s="287"/>
      <c r="N81" s="287"/>
      <c r="O81" s="296"/>
      <c r="P81" s="287"/>
      <c r="Q81" s="287"/>
      <c r="R81" s="287"/>
      <c r="S81" s="287"/>
    </row>
    <row r="82" spans="1:19">
      <c r="A82" s="624"/>
      <c r="B82" s="287" t="s">
        <v>295</v>
      </c>
      <c r="C82" s="287"/>
      <c r="D82" s="287"/>
      <c r="E82" s="287"/>
      <c r="F82" s="287"/>
      <c r="G82" s="287"/>
      <c r="H82" s="287"/>
      <c r="I82" s="287"/>
      <c r="J82" s="287"/>
      <c r="K82" s="287"/>
      <c r="L82" s="287"/>
      <c r="M82" s="287"/>
      <c r="N82" s="287"/>
      <c r="O82" s="296"/>
      <c r="P82" s="287"/>
      <c r="Q82" s="287"/>
      <c r="R82" s="287"/>
      <c r="S82" s="287"/>
    </row>
    <row r="83" spans="1:19" ht="28.8">
      <c r="A83" s="298"/>
      <c r="B83" s="294" t="s">
        <v>292</v>
      </c>
      <c r="C83" s="294"/>
      <c r="D83" s="294"/>
      <c r="E83" s="295"/>
      <c r="F83" s="295"/>
      <c r="G83" s="294"/>
      <c r="H83" s="294"/>
      <c r="I83" s="295"/>
      <c r="J83" s="294"/>
      <c r="K83" s="294"/>
      <c r="L83" s="295"/>
      <c r="M83" s="295"/>
      <c r="N83" s="295"/>
      <c r="O83" s="296"/>
      <c r="P83" s="295"/>
      <c r="Q83" s="295"/>
      <c r="R83" s="295"/>
      <c r="S83" s="295"/>
    </row>
    <row r="84" spans="1:19">
      <c r="A84" s="299" t="s">
        <v>332</v>
      </c>
      <c r="B84" s="287" t="s">
        <v>297</v>
      </c>
      <c r="C84" s="287"/>
      <c r="D84" s="287"/>
      <c r="E84" s="295"/>
      <c r="F84" s="295"/>
      <c r="G84" s="287"/>
      <c r="H84" s="287"/>
      <c r="I84" s="295"/>
      <c r="J84" s="287"/>
      <c r="K84" s="287"/>
      <c r="L84" s="295"/>
      <c r="M84" s="295"/>
      <c r="N84" s="295"/>
      <c r="O84" s="296"/>
      <c r="P84" s="295"/>
      <c r="Q84" s="295"/>
      <c r="R84" s="295"/>
      <c r="S84" s="295"/>
    </row>
    <row r="85" spans="1:19">
      <c r="A85" s="624"/>
      <c r="B85" s="287" t="s">
        <v>295</v>
      </c>
      <c r="C85" s="287"/>
      <c r="D85" s="287"/>
      <c r="E85" s="295"/>
      <c r="F85" s="295"/>
      <c r="G85" s="287"/>
      <c r="H85" s="287"/>
      <c r="I85" s="295"/>
      <c r="J85" s="287"/>
      <c r="K85" s="287"/>
      <c r="L85" s="295"/>
      <c r="M85" s="295"/>
      <c r="N85" s="295"/>
      <c r="O85" s="296"/>
      <c r="P85" s="295"/>
      <c r="Q85" s="295"/>
      <c r="R85" s="295"/>
      <c r="S85" s="295"/>
    </row>
    <row r="86" spans="1:19" ht="28.8">
      <c r="A86" s="298"/>
      <c r="B86" s="294" t="s">
        <v>292</v>
      </c>
      <c r="C86" s="294"/>
      <c r="D86" s="294"/>
      <c r="E86" s="293"/>
      <c r="F86" s="295"/>
      <c r="G86" s="294"/>
      <c r="H86" s="294"/>
      <c r="I86" s="293"/>
      <c r="J86" s="294"/>
      <c r="K86" s="294"/>
      <c r="L86" s="293"/>
    </row>
    <row r="87" spans="1:19">
      <c r="A87" s="299" t="s">
        <v>333</v>
      </c>
      <c r="B87" s="287" t="s">
        <v>297</v>
      </c>
      <c r="C87" s="287"/>
      <c r="D87" s="287"/>
      <c r="E87" s="287"/>
      <c r="F87" s="295"/>
      <c r="G87" s="287"/>
      <c r="H87" s="287"/>
      <c r="I87" s="287"/>
      <c r="J87" s="287"/>
      <c r="K87" s="287"/>
      <c r="L87" s="287"/>
    </row>
    <row r="88" spans="1:19">
      <c r="A88" s="624"/>
      <c r="B88" s="287" t="s">
        <v>295</v>
      </c>
      <c r="C88" s="287"/>
      <c r="D88" s="287"/>
      <c r="E88" s="287"/>
      <c r="F88" s="295"/>
      <c r="G88" s="287"/>
      <c r="H88" s="287"/>
      <c r="I88" s="287"/>
      <c r="J88" s="287"/>
      <c r="K88" s="287"/>
      <c r="L88" s="287"/>
    </row>
    <row r="89" spans="1:19" ht="28.8">
      <c r="A89" s="298"/>
      <c r="B89" s="294" t="s">
        <v>292</v>
      </c>
      <c r="C89" s="294"/>
      <c r="D89" s="294"/>
      <c r="E89" s="293"/>
      <c r="F89" s="295"/>
      <c r="G89" s="294"/>
      <c r="H89" s="294"/>
      <c r="I89" s="293"/>
      <c r="J89" s="294"/>
      <c r="K89" s="294"/>
      <c r="L89" s="293"/>
    </row>
    <row r="90" spans="1:19">
      <c r="A90" s="299" t="s">
        <v>334</v>
      </c>
      <c r="B90" s="287" t="s">
        <v>297</v>
      </c>
      <c r="C90" s="287"/>
      <c r="D90" s="287"/>
      <c r="E90" s="287"/>
      <c r="F90" s="295"/>
      <c r="G90" s="287"/>
      <c r="H90" s="287"/>
      <c r="I90" s="287"/>
      <c r="J90" s="287"/>
      <c r="K90" s="287"/>
      <c r="L90" s="287"/>
    </row>
    <row r="91" spans="1:19">
      <c r="A91" s="624"/>
      <c r="B91" s="287" t="s">
        <v>295</v>
      </c>
      <c r="C91" s="287"/>
      <c r="D91" s="287"/>
      <c r="E91" s="287"/>
      <c r="F91" s="295"/>
      <c r="G91" s="287"/>
      <c r="H91" s="287"/>
      <c r="I91" s="287"/>
      <c r="J91" s="287"/>
      <c r="K91" s="287"/>
      <c r="L91" s="287"/>
    </row>
    <row r="92" spans="1:19" ht="28.8">
      <c r="A92" s="298"/>
      <c r="B92" s="294" t="s">
        <v>292</v>
      </c>
      <c r="C92" s="294"/>
      <c r="D92" s="294"/>
      <c r="E92" s="294"/>
      <c r="F92" s="295"/>
      <c r="G92" s="294"/>
      <c r="H92" s="294"/>
      <c r="I92" s="294"/>
      <c r="J92" s="294"/>
      <c r="K92" s="294"/>
      <c r="L92" s="294"/>
    </row>
    <row r="93" spans="1:19">
      <c r="A93" s="299"/>
      <c r="B93" s="287" t="s">
        <v>297</v>
      </c>
      <c r="C93" s="287"/>
      <c r="D93" s="287"/>
      <c r="E93" s="287"/>
      <c r="F93" s="295"/>
      <c r="G93" s="287"/>
      <c r="H93" s="287"/>
      <c r="I93" s="287"/>
      <c r="J93" s="287"/>
      <c r="K93" s="287"/>
      <c r="L93" s="287"/>
    </row>
    <row r="94" spans="1:19">
      <c r="A94" s="624"/>
      <c r="B94" s="287" t="s">
        <v>295</v>
      </c>
      <c r="C94" s="287"/>
      <c r="D94" s="287"/>
      <c r="E94" s="287"/>
      <c r="F94" s="295"/>
      <c r="G94" s="287"/>
      <c r="H94" s="287"/>
      <c r="I94" s="287"/>
      <c r="J94" s="287"/>
      <c r="K94" s="287"/>
      <c r="L94" s="287"/>
    </row>
    <row r="95" spans="1:19" ht="28.8">
      <c r="A95" s="298" t="s">
        <v>335</v>
      </c>
      <c r="B95" s="294" t="s">
        <v>292</v>
      </c>
      <c r="C95" s="294"/>
      <c r="D95" s="294"/>
      <c r="E95" s="294"/>
      <c r="F95" s="295"/>
      <c r="G95" s="294"/>
      <c r="H95" s="294"/>
      <c r="I95" s="294"/>
      <c r="J95" s="294"/>
      <c r="K95" s="294"/>
      <c r="L95" s="294"/>
    </row>
    <row r="96" spans="1:19">
      <c r="A96" s="299"/>
      <c r="B96" s="287" t="s">
        <v>297</v>
      </c>
      <c r="C96" s="287"/>
      <c r="D96" s="287"/>
      <c r="E96" s="287"/>
      <c r="F96" s="295"/>
      <c r="G96" s="287"/>
      <c r="H96" s="287"/>
      <c r="I96" s="287"/>
      <c r="J96" s="287"/>
      <c r="K96" s="287"/>
      <c r="L96" s="287"/>
    </row>
    <row r="97" spans="1:12">
      <c r="A97" s="624"/>
      <c r="B97" s="287" t="s">
        <v>295</v>
      </c>
      <c r="C97" s="287"/>
      <c r="D97" s="287"/>
      <c r="E97" s="287"/>
      <c r="F97" s="295"/>
      <c r="G97" s="287"/>
      <c r="H97" s="287"/>
      <c r="I97" s="287"/>
      <c r="J97" s="287"/>
      <c r="K97" s="287"/>
      <c r="L97" s="287"/>
    </row>
    <row r="98" spans="1:12" ht="28.8">
      <c r="A98" s="298"/>
      <c r="B98" s="294" t="s">
        <v>292</v>
      </c>
      <c r="C98" s="294"/>
      <c r="D98" s="294"/>
      <c r="E98" s="294"/>
      <c r="F98" s="295"/>
      <c r="G98" s="294"/>
      <c r="H98" s="294"/>
      <c r="I98" s="294"/>
      <c r="J98" s="294"/>
      <c r="K98" s="294"/>
      <c r="L98" s="294"/>
    </row>
    <row r="99" spans="1:12">
      <c r="A99" s="299"/>
      <c r="B99" s="287" t="s">
        <v>297</v>
      </c>
      <c r="C99" s="287"/>
      <c r="D99" s="287"/>
      <c r="E99" s="287"/>
      <c r="F99" s="295"/>
      <c r="G99" s="287"/>
      <c r="H99" s="287"/>
      <c r="I99" s="287"/>
      <c r="J99" s="287"/>
      <c r="K99" s="287"/>
      <c r="L99" s="287"/>
    </row>
    <row r="100" spans="1:12">
      <c r="A100" s="624"/>
      <c r="B100" s="287" t="s">
        <v>295</v>
      </c>
      <c r="C100" s="287"/>
      <c r="D100" s="287"/>
      <c r="E100" s="287"/>
      <c r="F100" s="295"/>
      <c r="G100" s="287"/>
      <c r="H100" s="287"/>
      <c r="I100" s="287"/>
      <c r="J100" s="287"/>
      <c r="K100" s="287"/>
      <c r="L100" s="287"/>
    </row>
  </sheetData>
  <mergeCells count="20">
    <mergeCell ref="A53:A55"/>
    <mergeCell ref="C1:F1"/>
    <mergeCell ref="G1:J1"/>
    <mergeCell ref="K1:N1"/>
    <mergeCell ref="P1:S1"/>
    <mergeCell ref="A32:A34"/>
    <mergeCell ref="A35:A37"/>
    <mergeCell ref="A38:A40"/>
    <mergeCell ref="A41:A43"/>
    <mergeCell ref="A44:A46"/>
    <mergeCell ref="A47:A49"/>
    <mergeCell ref="A50:A52"/>
    <mergeCell ref="A74:A75"/>
    <mergeCell ref="A78:A80"/>
    <mergeCell ref="A56:A58"/>
    <mergeCell ref="A59:A61"/>
    <mergeCell ref="A62:A64"/>
    <mergeCell ref="A65:A67"/>
    <mergeCell ref="A68:A70"/>
    <mergeCell ref="A71:A7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276E8DD442F3949B29C5C59DE4A7687" ma:contentTypeVersion="5" ma:contentTypeDescription="Create a new document." ma:contentTypeScope="" ma:versionID="731aa0024221414d4bb458d1650e1f93">
  <xsd:schema xmlns:xsd="http://www.w3.org/2001/XMLSchema" xmlns:xs="http://www.w3.org/2001/XMLSchema" xmlns:p="http://schemas.microsoft.com/office/2006/metadata/properties" xmlns:ns3="a40fe6b2-76c0-4113-a012-01a5ebf2a5d4" xmlns:ns4="031e53ee-fbc6-4ba2-b468-5efa88c25ce5" targetNamespace="http://schemas.microsoft.com/office/2006/metadata/properties" ma:root="true" ma:fieldsID="f89e4ef35399f1a7f6bafe0735bc49e6" ns3:_="" ns4:_="">
    <xsd:import namespace="a40fe6b2-76c0-4113-a012-01a5ebf2a5d4"/>
    <xsd:import namespace="031e53ee-fbc6-4ba2-b468-5efa88c25ce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0fe6b2-76c0-4113-a012-01a5ebf2a5d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31e53ee-fbc6-4ba2-b468-5efa88c25ce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DC07337-79FD-493A-886C-DC0F6DEE56CA}">
  <ds:schemaRefs>
    <ds:schemaRef ds:uri="http://purl.org/dc/dcmitype/"/>
    <ds:schemaRef ds:uri="a40fe6b2-76c0-4113-a012-01a5ebf2a5d4"/>
    <ds:schemaRef ds:uri="031e53ee-fbc6-4ba2-b468-5efa88c25ce5"/>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A5677AC9-C891-49F3-9FF7-FE235769E843}">
  <ds:schemaRefs>
    <ds:schemaRef ds:uri="http://schemas.microsoft.com/sharepoint/v3/contenttype/forms"/>
  </ds:schemaRefs>
</ds:datastoreItem>
</file>

<file path=customXml/itemProps3.xml><?xml version="1.0" encoding="utf-8"?>
<ds:datastoreItem xmlns:ds="http://schemas.openxmlformats.org/officeDocument/2006/customXml" ds:itemID="{6F4B98F9-9FB6-459D-84BE-4F2BC2CB9A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0fe6b2-76c0-4113-a012-01a5ebf2a5d4"/>
    <ds:schemaRef ds:uri="031e53ee-fbc6-4ba2-b468-5efa88c25c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Eng Weekly report</vt:lpstr>
      <vt:lpstr>Compliance report</vt:lpstr>
      <vt:lpstr>Quality report</vt:lpstr>
      <vt:lpstr>Service schedule</vt:lpstr>
      <vt:lpstr>Oil report</vt:lpstr>
      <vt:lpstr>Fermel Weekly</vt:lpstr>
      <vt:lpstr>Blocked chutes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Jacques Breet</dc:creator>
  <cp:lastModifiedBy>Sikelela Nzuza</cp:lastModifiedBy>
  <cp:lastPrinted>2023-03-03T13:50:27Z</cp:lastPrinted>
  <dcterms:created xsi:type="dcterms:W3CDTF">2020-01-17T12:36:29Z</dcterms:created>
  <dcterms:modified xsi:type="dcterms:W3CDTF">2025-11-17T04:55:34Z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0x0101000276E8DD442F3949B29C5C59DE4A7687</vt:lpwstr>
  </property>
</Properties>
</file>