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64957\My Drive\GDVault\MarthaVault\00_Inbox\"/>
    </mc:Choice>
  </mc:AlternateContent>
  <xr:revisionPtr revIDLastSave="0" documentId="13_ncr:1_{4944EDDD-4873-406D-8D59-F12E915546CD}" xr6:coauthVersionLast="47" xr6:coauthVersionMax="47" xr10:uidLastSave="{00000000-0000-0000-0000-000000000000}"/>
  <bookViews>
    <workbookView xWindow="-120" yWindow="-120" windowWidth="29040" windowHeight="15720" activeTab="1" xr2:uid="{26256806-646B-410B-99AC-2ABEBF893D43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2" l="1"/>
  <c r="P43" i="2"/>
  <c r="P41" i="2"/>
  <c r="P23" i="2"/>
  <c r="P22" i="2"/>
  <c r="I4" i="2"/>
  <c r="J4" i="2"/>
  <c r="K4" i="2"/>
  <c r="L4" i="2"/>
  <c r="P4" i="2" s="1"/>
  <c r="N4" i="2"/>
  <c r="O4" i="2"/>
  <c r="I5" i="2"/>
  <c r="J5" i="2"/>
  <c r="K5" i="2"/>
  <c r="L5" i="2"/>
  <c r="N5" i="2"/>
  <c r="O5" i="2"/>
  <c r="I6" i="2"/>
  <c r="J6" i="2"/>
  <c r="K6" i="2"/>
  <c r="L6" i="2"/>
  <c r="N6" i="2"/>
  <c r="O6" i="2"/>
  <c r="I7" i="2"/>
  <c r="J7" i="2"/>
  <c r="K7" i="2"/>
  <c r="L7" i="2"/>
  <c r="N7" i="2"/>
  <c r="O7" i="2"/>
  <c r="I8" i="2"/>
  <c r="J8" i="2"/>
  <c r="K8" i="2"/>
  <c r="L8" i="2"/>
  <c r="N8" i="2"/>
  <c r="O8" i="2"/>
  <c r="I9" i="2"/>
  <c r="J9" i="2"/>
  <c r="K9" i="2"/>
  <c r="L9" i="2"/>
  <c r="N9" i="2"/>
  <c r="O9" i="2"/>
  <c r="I10" i="2"/>
  <c r="J10" i="2"/>
  <c r="K10" i="2"/>
  <c r="L10" i="2"/>
  <c r="N10" i="2"/>
  <c r="O10" i="2"/>
  <c r="I11" i="2"/>
  <c r="J11" i="2"/>
  <c r="K11" i="2"/>
  <c r="L11" i="2"/>
  <c r="N11" i="2"/>
  <c r="O11" i="2"/>
  <c r="I12" i="2"/>
  <c r="J12" i="2"/>
  <c r="K12" i="2"/>
  <c r="L12" i="2"/>
  <c r="N12" i="2"/>
  <c r="O12" i="2"/>
  <c r="I13" i="2"/>
  <c r="J13" i="2"/>
  <c r="K13" i="2"/>
  <c r="L13" i="2"/>
  <c r="N13" i="2"/>
  <c r="O13" i="2"/>
  <c r="I14" i="2"/>
  <c r="J14" i="2"/>
  <c r="K14" i="2"/>
  <c r="L14" i="2"/>
  <c r="N14" i="2"/>
  <c r="O14" i="2"/>
  <c r="I15" i="2"/>
  <c r="J15" i="2"/>
  <c r="K15" i="2"/>
  <c r="L15" i="2"/>
  <c r="N15" i="2"/>
  <c r="O15" i="2"/>
  <c r="I16" i="2"/>
  <c r="J16" i="2"/>
  <c r="K16" i="2"/>
  <c r="L16" i="2"/>
  <c r="N16" i="2"/>
  <c r="O16" i="2"/>
  <c r="I17" i="2"/>
  <c r="J17" i="2"/>
  <c r="K17" i="2"/>
  <c r="L17" i="2"/>
  <c r="N17" i="2"/>
  <c r="O17" i="2"/>
  <c r="I18" i="2"/>
  <c r="J18" i="2"/>
  <c r="K18" i="2"/>
  <c r="L18" i="2"/>
  <c r="N18" i="2"/>
  <c r="O18" i="2"/>
  <c r="I19" i="2"/>
  <c r="J19" i="2"/>
  <c r="K19" i="2"/>
  <c r="L19" i="2"/>
  <c r="N19" i="2"/>
  <c r="O19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4" i="2"/>
  <c r="O40" i="2"/>
  <c r="N40" i="2"/>
  <c r="L40" i="2"/>
  <c r="K40" i="2"/>
  <c r="J40" i="2"/>
  <c r="I40" i="2"/>
  <c r="O39" i="2"/>
  <c r="N39" i="2"/>
  <c r="L39" i="2"/>
  <c r="K39" i="2"/>
  <c r="J39" i="2"/>
  <c r="I39" i="2"/>
  <c r="O38" i="2"/>
  <c r="N38" i="2"/>
  <c r="L38" i="2"/>
  <c r="K38" i="2"/>
  <c r="J38" i="2"/>
  <c r="I38" i="2"/>
  <c r="O37" i="2"/>
  <c r="N37" i="2"/>
  <c r="L37" i="2"/>
  <c r="K37" i="2"/>
  <c r="J37" i="2"/>
  <c r="I37" i="2"/>
  <c r="P31" i="2"/>
  <c r="P32" i="2"/>
  <c r="O29" i="2"/>
  <c r="N29" i="2"/>
  <c r="L29" i="2"/>
  <c r="K29" i="2"/>
  <c r="J29" i="2"/>
  <c r="I29" i="2"/>
  <c r="O3" i="2"/>
  <c r="O2" i="2"/>
  <c r="N3" i="2"/>
  <c r="L3" i="2"/>
  <c r="N2" i="2"/>
  <c r="L2" i="2"/>
  <c r="E8" i="1"/>
  <c r="D8" i="1"/>
  <c r="E6" i="1"/>
  <c r="E5" i="1"/>
  <c r="E4" i="1"/>
  <c r="E3" i="1"/>
  <c r="E2" i="1"/>
  <c r="E7" i="1"/>
  <c r="G3" i="2"/>
  <c r="K3" i="2" s="1"/>
  <c r="G2" i="2"/>
  <c r="K2" i="2" s="1"/>
  <c r="L3" i="1"/>
  <c r="P6" i="2" l="1"/>
  <c r="P18" i="2"/>
  <c r="P11" i="2"/>
  <c r="P15" i="2"/>
  <c r="P19" i="2"/>
  <c r="P17" i="2"/>
  <c r="P16" i="2"/>
  <c r="P14" i="2"/>
  <c r="P13" i="2"/>
  <c r="P12" i="2"/>
  <c r="P10" i="2"/>
  <c r="P9" i="2"/>
  <c r="P8" i="2"/>
  <c r="P7" i="2"/>
  <c r="P5" i="2"/>
  <c r="P29" i="2"/>
  <c r="P33" i="2" s="1"/>
  <c r="P39" i="2"/>
  <c r="P40" i="2"/>
  <c r="P38" i="2"/>
  <c r="P37" i="2"/>
  <c r="I3" i="2"/>
  <c r="J3" i="2"/>
  <c r="P3" i="2" s="1"/>
  <c r="I2" i="2"/>
  <c r="J2" i="2"/>
  <c r="P2" i="2" s="1"/>
  <c r="P20" i="2" s="1"/>
  <c r="P45" i="2" l="1"/>
  <c r="P2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Gregory Karsten</author>
  </authors>
  <commentList>
    <comment ref="H1" authorId="0" shapeId="0" xr:uid="{19B1514C-8C15-455F-9735-DEFBD2C14097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28" authorId="0" shapeId="0" xr:uid="{0E8AF660-02A3-469D-B53C-48123CE14D66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  <comment ref="H36" authorId="0" shapeId="0" xr:uid="{34497327-8759-4969-9E67-8203E18104A7}">
      <text>
        <r>
          <rPr>
            <b/>
            <sz val="9"/>
            <color indexed="81"/>
            <rFont val="Tahoma"/>
            <family val="2"/>
          </rPr>
          <t>Gregory Karsten:</t>
        </r>
        <r>
          <rPr>
            <sz val="9"/>
            <color indexed="81"/>
            <rFont val="Tahoma"/>
            <family val="2"/>
          </rPr>
          <t xml:space="preserve">
Maximum LOS for BT = 700m</t>
        </r>
      </text>
    </comment>
  </commentList>
</comments>
</file>

<file path=xl/sharedStrings.xml><?xml version="1.0" encoding="utf-8"?>
<sst xmlns="http://schemas.openxmlformats.org/spreadsheetml/2006/main" count="116" uniqueCount="75">
  <si>
    <t>Glue</t>
  </si>
  <si>
    <t>Nozzles</t>
  </si>
  <si>
    <t>senors</t>
  </si>
  <si>
    <t>sensors</t>
  </si>
  <si>
    <t xml:space="preserve">Initial setup </t>
  </si>
  <si>
    <t>Installation per day ( 2 people, 20-25 sensors per day)</t>
  </si>
  <si>
    <t>Softwa</t>
  </si>
  <si>
    <t>Travel</t>
  </si>
  <si>
    <t>Accommodation</t>
  </si>
  <si>
    <t>Accommodation / day</t>
  </si>
  <si>
    <t>Gateway</t>
  </si>
  <si>
    <t>Gateway - 100 sensors</t>
  </si>
  <si>
    <t>Motors en Ratkaste</t>
  </si>
  <si>
    <t>Pulleys</t>
  </si>
  <si>
    <t>power supply = 220V</t>
  </si>
  <si>
    <t>Alarms en trends. Can get free excess. No license fees. No yearly fees.</t>
  </si>
  <si>
    <t xml:space="preserve">Users. Unlimited </t>
  </si>
  <si>
    <t>Monitoring sevrice = once off cost. + R3.8k per sensor per year</t>
  </si>
  <si>
    <t>Orepass feed belt andd</t>
  </si>
  <si>
    <t>Crusher feed belt at 2W plant</t>
  </si>
  <si>
    <t>N2</t>
  </si>
  <si>
    <t># Pulleys</t>
  </si>
  <si>
    <t>N3</t>
  </si>
  <si>
    <t>R3.3m</t>
  </si>
  <si>
    <t>All UG belts</t>
  </si>
  <si>
    <t>Decline completed</t>
  </si>
  <si>
    <t>13 belts</t>
  </si>
  <si>
    <t>Gloria</t>
  </si>
  <si>
    <t>1. CV78</t>
  </si>
  <si>
    <t>2. CV75</t>
  </si>
  <si>
    <t>3. CV51</t>
  </si>
  <si>
    <t>4. CV10</t>
  </si>
  <si>
    <t># Sensors</t>
  </si>
  <si>
    <t>TcA Sensor</t>
  </si>
  <si>
    <t>HF+2 Sensor</t>
  </si>
  <si>
    <t>High Speed</t>
  </si>
  <si>
    <t>Steel base (1 / sensor)</t>
  </si>
  <si>
    <t>Spacer (1 per sensor)</t>
  </si>
  <si>
    <t>Glue (1 tube =10 sensors)</t>
  </si>
  <si>
    <t>Per sensor</t>
  </si>
  <si>
    <t>Cost</t>
  </si>
  <si>
    <t>Qty</t>
  </si>
  <si>
    <t>Nozzle Box</t>
  </si>
  <si>
    <t>Initial setup</t>
  </si>
  <si>
    <t>Installation per day (2 people)</t>
  </si>
  <si>
    <t>20-25 sensors per day</t>
  </si>
  <si>
    <t>Days</t>
  </si>
  <si>
    <t>Sensor cost</t>
  </si>
  <si>
    <t>Base &amp; Spacer</t>
  </si>
  <si>
    <t>Consumables</t>
  </si>
  <si>
    <t># Gateways</t>
  </si>
  <si>
    <t>Labour Cost</t>
  </si>
  <si>
    <t># Days</t>
  </si>
  <si>
    <t>Total Parts &amp; Labour</t>
  </si>
  <si>
    <t>TOTAL</t>
  </si>
  <si>
    <t>ONCE OFF</t>
  </si>
  <si>
    <t>GRAND TOTAL</t>
  </si>
  <si>
    <t>All split bearings on new belt drive pulleys</t>
  </si>
  <si>
    <t>N3 Current</t>
  </si>
  <si>
    <t>NR1 conveyor</t>
  </si>
  <si>
    <t>NR2 conveyor</t>
  </si>
  <si>
    <t>NR3 conveyor</t>
  </si>
  <si>
    <t>NR4 conveyor</t>
  </si>
  <si>
    <t>NR5 conveyor</t>
  </si>
  <si>
    <t>NR6 conveyor</t>
  </si>
  <si>
    <t>NR7 conveyor</t>
  </si>
  <si>
    <t>NR8 conveyor</t>
  </si>
  <si>
    <t>NR9 conveyor</t>
  </si>
  <si>
    <t>NR10 conveyor</t>
  </si>
  <si>
    <t>NR11 conveyor</t>
  </si>
  <si>
    <t>ST07 conveyor</t>
  </si>
  <si>
    <t>US 01 conveyor</t>
  </si>
  <si>
    <t>US 02 conveyor</t>
  </si>
  <si>
    <t>LS01 conveyor</t>
  </si>
  <si>
    <t>LS02 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</si>
</sst>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-1C09]* #,##0_-;\-[$R-1C09]* #,##0_-;_-[$R-1C09]* &quot;-&quot;??_-;_-@_-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164" fontId="0" fillId="0" borderId="0" xfId="0" applyNumberFormat="1"/>
    <xf numFmtId="164" fontId="1" fillId="0" borderId="0" xfId="0" applyNumberFormat="1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164" fontId="1" fillId="2" borderId="0" xfId="0" applyNumberFormat="1" applyFont="1" applyFill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44E4-EFE5-4C05-A4D5-65F3F60D87AF}">
  <dimension ref="B1:M20"/>
  <sheetViews>
    <sheetView workbookViewId="0">
      <selection activeCell="C2" sqref="C2"/>
    </sheetView>
  </sheetViews>
  <sheetFormatPr defaultRowHeight="15" x14ac:dyDescent="0.25"/>
  <cols>
    <col min="2" max="2" width="23.42578125" bestFit="1" customWidth="1"/>
    <col min="5" max="5" width="10.28515625" bestFit="1" customWidth="1"/>
    <col min="11" max="11" width="49" bestFit="1" customWidth="1"/>
  </cols>
  <sheetData>
    <row r="1" spans="2:13" x14ac:dyDescent="0.25">
      <c r="C1" s="2" t="s">
        <v>40</v>
      </c>
      <c r="D1" s="2" t="s">
        <v>41</v>
      </c>
      <c r="E1" s="2" t="s">
        <v>39</v>
      </c>
    </row>
    <row r="2" spans="2:13" x14ac:dyDescent="0.25">
      <c r="B2" t="s">
        <v>33</v>
      </c>
      <c r="C2">
        <v>7527</v>
      </c>
      <c r="D2">
        <v>1</v>
      </c>
      <c r="E2">
        <f t="shared" ref="E2:E6" si="0">+C2*D2</f>
        <v>7527</v>
      </c>
      <c r="K2" t="s">
        <v>0</v>
      </c>
      <c r="L2">
        <v>10</v>
      </c>
      <c r="M2" t="s">
        <v>2</v>
      </c>
    </row>
    <row r="3" spans="2:13" x14ac:dyDescent="0.25">
      <c r="B3" t="s">
        <v>34</v>
      </c>
      <c r="C3">
        <v>10934</v>
      </c>
      <c r="D3">
        <v>1</v>
      </c>
      <c r="E3">
        <f t="shared" si="0"/>
        <v>10934</v>
      </c>
      <c r="F3" t="s">
        <v>35</v>
      </c>
      <c r="K3" t="s">
        <v>1</v>
      </c>
      <c r="L3">
        <f>4*72</f>
        <v>288</v>
      </c>
      <c r="M3" t="s">
        <v>3</v>
      </c>
    </row>
    <row r="4" spans="2:13" x14ac:dyDescent="0.25">
      <c r="B4" t="s">
        <v>10</v>
      </c>
      <c r="C4">
        <v>20480</v>
      </c>
      <c r="D4">
        <v>1</v>
      </c>
      <c r="E4">
        <f t="shared" si="0"/>
        <v>20480</v>
      </c>
      <c r="K4" t="s">
        <v>4</v>
      </c>
      <c r="L4" t="s">
        <v>6</v>
      </c>
    </row>
    <row r="5" spans="2:13" x14ac:dyDescent="0.25">
      <c r="B5" t="s">
        <v>36</v>
      </c>
      <c r="C5">
        <v>130</v>
      </c>
      <c r="D5">
        <v>1</v>
      </c>
      <c r="E5">
        <f t="shared" si="0"/>
        <v>130</v>
      </c>
      <c r="K5" t="s">
        <v>5</v>
      </c>
      <c r="L5">
        <v>15295</v>
      </c>
    </row>
    <row r="6" spans="2:13" x14ac:dyDescent="0.25">
      <c r="B6" t="s">
        <v>37</v>
      </c>
      <c r="C6">
        <v>285</v>
      </c>
      <c r="D6">
        <v>1</v>
      </c>
      <c r="E6">
        <f t="shared" si="0"/>
        <v>285</v>
      </c>
      <c r="K6" t="s">
        <v>7</v>
      </c>
      <c r="L6">
        <v>18988</v>
      </c>
    </row>
    <row r="7" spans="2:13" x14ac:dyDescent="0.25">
      <c r="B7" t="s">
        <v>38</v>
      </c>
      <c r="C7">
        <v>5600</v>
      </c>
      <c r="D7">
        <v>0.1</v>
      </c>
      <c r="E7">
        <f>+C7*D7</f>
        <v>560</v>
      </c>
      <c r="K7" t="s">
        <v>9</v>
      </c>
      <c r="L7">
        <v>2200</v>
      </c>
    </row>
    <row r="8" spans="2:13" x14ac:dyDescent="0.25">
      <c r="B8" t="s">
        <v>42</v>
      </c>
      <c r="C8">
        <v>2952</v>
      </c>
      <c r="D8">
        <f>1/288</f>
        <v>3.472222222222222E-3</v>
      </c>
      <c r="E8">
        <f>+C8*D8</f>
        <v>10.25</v>
      </c>
      <c r="K8" t="s">
        <v>11</v>
      </c>
    </row>
    <row r="10" spans="2:13" x14ac:dyDescent="0.25">
      <c r="B10" t="s">
        <v>43</v>
      </c>
      <c r="C10">
        <v>9600</v>
      </c>
      <c r="K10" t="s">
        <v>12</v>
      </c>
    </row>
    <row r="11" spans="2:13" x14ac:dyDescent="0.25">
      <c r="B11" t="s">
        <v>7</v>
      </c>
      <c r="C11">
        <v>16512</v>
      </c>
      <c r="E11" t="s">
        <v>46</v>
      </c>
      <c r="K11" t="s">
        <v>13</v>
      </c>
    </row>
    <row r="12" spans="2:13" x14ac:dyDescent="0.25">
      <c r="B12" t="s">
        <v>9</v>
      </c>
      <c r="C12">
        <v>2200</v>
      </c>
      <c r="E12" t="s">
        <v>46</v>
      </c>
    </row>
    <row r="13" spans="2:13" x14ac:dyDescent="0.25">
      <c r="B13" t="s">
        <v>44</v>
      </c>
      <c r="C13">
        <v>13300</v>
      </c>
      <c r="E13" t="s">
        <v>46</v>
      </c>
      <c r="F13" t="s">
        <v>45</v>
      </c>
      <c r="K13" t="s">
        <v>14</v>
      </c>
    </row>
    <row r="15" spans="2:13" x14ac:dyDescent="0.25">
      <c r="K15" t="s">
        <v>15</v>
      </c>
    </row>
    <row r="16" spans="2:13" x14ac:dyDescent="0.25">
      <c r="K16" t="s">
        <v>17</v>
      </c>
    </row>
    <row r="17" spans="2:11" x14ac:dyDescent="0.25">
      <c r="K17" t="s">
        <v>16</v>
      </c>
    </row>
    <row r="20" spans="2:11" x14ac:dyDescent="0.25">
      <c r="B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F4542-314C-4B68-BEB6-A1F300014BA4}">
  <dimension ref="B1:P53"/>
  <sheetViews>
    <sheetView tabSelected="1" topLeftCell="A10" workbookViewId="0">
      <selection activeCell="S51" sqref="S51"/>
    </sheetView>
  </sheetViews>
  <sheetFormatPr defaultRowHeight="15" x14ac:dyDescent="0.25"/>
  <cols>
    <col min="7" max="7" width="9.42578125" bestFit="1" customWidth="1"/>
    <col min="8" max="8" width="11.140625" bestFit="1" customWidth="1"/>
    <col min="9" max="9" width="11.7109375" bestFit="1" customWidth="1"/>
    <col min="10" max="10" width="13.7109375" bestFit="1" customWidth="1"/>
    <col min="11" max="11" width="13.5703125" bestFit="1" customWidth="1"/>
    <col min="12" max="12" width="13.42578125" customWidth="1"/>
    <col min="13" max="13" width="10.42578125" bestFit="1" customWidth="1"/>
    <col min="14" max="14" width="11.85546875" bestFit="1" customWidth="1"/>
    <col min="15" max="15" width="11.85546875" customWidth="1"/>
    <col min="16" max="16" width="19" bestFit="1" customWidth="1"/>
  </cols>
  <sheetData>
    <row r="1" spans="2:16" x14ac:dyDescent="0.25">
      <c r="B1" s="2" t="s">
        <v>20</v>
      </c>
      <c r="F1" s="2" t="s">
        <v>21</v>
      </c>
      <c r="G1" s="2" t="s">
        <v>32</v>
      </c>
      <c r="H1" s="2" t="s">
        <v>50</v>
      </c>
      <c r="I1" s="2" t="s">
        <v>47</v>
      </c>
      <c r="J1" s="2" t="s">
        <v>48</v>
      </c>
      <c r="K1" s="2" t="s">
        <v>49</v>
      </c>
      <c r="L1" s="2" t="s">
        <v>10</v>
      </c>
      <c r="M1" s="2" t="s">
        <v>52</v>
      </c>
      <c r="N1" s="2" t="s">
        <v>51</v>
      </c>
      <c r="O1" s="2" t="s">
        <v>8</v>
      </c>
      <c r="P1" s="2" t="s">
        <v>53</v>
      </c>
    </row>
    <row r="2" spans="2:16" x14ac:dyDescent="0.25">
      <c r="B2" t="s">
        <v>19</v>
      </c>
      <c r="F2">
        <v>4</v>
      </c>
      <c r="G2">
        <f>F2*2</f>
        <v>8</v>
      </c>
      <c r="H2">
        <v>1</v>
      </c>
      <c r="I2" s="4">
        <f>+G2*Sheet1!$E$2</f>
        <v>60216</v>
      </c>
      <c r="J2" s="4">
        <f>+(Sheet1!$E$5+Sheet1!$E$6)*G2</f>
        <v>3320</v>
      </c>
      <c r="K2" s="4">
        <f>+(Sheet1!$E$7+Sheet1!$E$8)*G2</f>
        <v>4562</v>
      </c>
      <c r="L2" s="4">
        <f>+Sheet1!$E$4*H2</f>
        <v>20480</v>
      </c>
      <c r="M2">
        <v>2</v>
      </c>
      <c r="N2" s="4">
        <f>+M2*Sheet1!$C$13</f>
        <v>26600</v>
      </c>
      <c r="O2" s="4">
        <f>+M2*Sheet1!$C$12</f>
        <v>4400</v>
      </c>
      <c r="P2" s="4">
        <f>+N2+L2+K2+J2+I2</f>
        <v>115178</v>
      </c>
    </row>
    <row r="3" spans="2:16" x14ac:dyDescent="0.25">
      <c r="B3" t="s">
        <v>18</v>
      </c>
      <c r="F3">
        <v>16</v>
      </c>
      <c r="G3">
        <f>F3*2</f>
        <v>32</v>
      </c>
      <c r="H3">
        <v>2</v>
      </c>
      <c r="I3" s="4">
        <f>+G3*Sheet1!$E$2</f>
        <v>240864</v>
      </c>
      <c r="J3" s="4">
        <f>+(Sheet1!$E$5+Sheet1!$E$6)*G3</f>
        <v>13280</v>
      </c>
      <c r="K3" s="4">
        <f>+(Sheet1!$E$7+Sheet1!$E$8)*G3</f>
        <v>18248</v>
      </c>
      <c r="L3" s="4">
        <f>+Sheet1!$E$4*H3</f>
        <v>40960</v>
      </c>
      <c r="M3">
        <v>3</v>
      </c>
      <c r="N3" s="4">
        <f>+M3*Sheet1!$C$13</f>
        <v>39900</v>
      </c>
      <c r="O3" s="4">
        <f>+M3*Sheet1!$C$12</f>
        <v>6600</v>
      </c>
      <c r="P3" s="4">
        <f>+N3+L3+K3+J3+I3</f>
        <v>353252</v>
      </c>
    </row>
    <row r="4" spans="2:16" x14ac:dyDescent="0.25">
      <c r="B4" t="s">
        <v>59</v>
      </c>
      <c r="F4">
        <f>+G4/2</f>
        <v>2</v>
      </c>
      <c r="G4">
        <v>4</v>
      </c>
      <c r="H4">
        <v>1</v>
      </c>
      <c r="I4" s="4">
        <f>+G4*Sheet1!$E$2</f>
        <v>30108</v>
      </c>
      <c r="J4" s="4">
        <f>+(Sheet1!$E$5+Sheet1!$E$6)*G4</f>
        <v>1660</v>
      </c>
      <c r="K4" s="4">
        <f>+(Sheet1!$E$7+Sheet1!$E$8)*G4</f>
        <v>2281</v>
      </c>
      <c r="L4" s="4">
        <f>+Sheet1!$E$4*H4</f>
        <v>20480</v>
      </c>
      <c r="M4">
        <v>4</v>
      </c>
      <c r="N4" s="4">
        <f>+M4*Sheet1!$C$13</f>
        <v>53200</v>
      </c>
      <c r="O4" s="4">
        <f>+M4*Sheet1!$C$12</f>
        <v>8800</v>
      </c>
      <c r="P4" s="4">
        <f t="shared" ref="P4:P19" si="0">+N4+L4+K4+J4+I4</f>
        <v>107729</v>
      </c>
    </row>
    <row r="5" spans="2:16" x14ac:dyDescent="0.25">
      <c r="B5" t="s">
        <v>60</v>
      </c>
      <c r="F5">
        <f t="shared" ref="F5:F19" si="1">+G5/2</f>
        <v>7</v>
      </c>
      <c r="G5">
        <v>14</v>
      </c>
      <c r="H5">
        <v>1</v>
      </c>
      <c r="I5" s="4">
        <f>+G5*Sheet1!$E$2</f>
        <v>105378</v>
      </c>
      <c r="J5" s="4">
        <f>+(Sheet1!$E$5+Sheet1!$E$6)*G5</f>
        <v>5810</v>
      </c>
      <c r="K5" s="4">
        <f>+(Sheet1!$E$7+Sheet1!$E$8)*G5</f>
        <v>7983.5</v>
      </c>
      <c r="L5" s="4">
        <f>+Sheet1!$E$4*H5</f>
        <v>20480</v>
      </c>
      <c r="M5">
        <v>5</v>
      </c>
      <c r="N5" s="4">
        <f>+M5*Sheet1!$C$13</f>
        <v>66500</v>
      </c>
      <c r="O5" s="4">
        <f>+M5*Sheet1!$C$12</f>
        <v>11000</v>
      </c>
      <c r="P5" s="4">
        <f t="shared" si="0"/>
        <v>206151.5</v>
      </c>
    </row>
    <row r="6" spans="2:16" x14ac:dyDescent="0.25">
      <c r="B6" t="s">
        <v>61</v>
      </c>
      <c r="F6">
        <f t="shared" si="1"/>
        <v>12</v>
      </c>
      <c r="G6">
        <v>24</v>
      </c>
      <c r="H6">
        <v>2</v>
      </c>
      <c r="I6" s="4">
        <f>+G6*Sheet1!$E$2</f>
        <v>180648</v>
      </c>
      <c r="J6" s="4">
        <f>+(Sheet1!$E$5+Sheet1!$E$6)*G6</f>
        <v>9960</v>
      </c>
      <c r="K6" s="4">
        <f>+(Sheet1!$E$7+Sheet1!$E$8)*G6</f>
        <v>13686</v>
      </c>
      <c r="L6" s="4">
        <f>+Sheet1!$E$4*H6</f>
        <v>40960</v>
      </c>
      <c r="M6">
        <v>6</v>
      </c>
      <c r="N6" s="4">
        <f>+M6*Sheet1!$C$13</f>
        <v>79800</v>
      </c>
      <c r="O6" s="4">
        <f>+M6*Sheet1!$C$12</f>
        <v>13200</v>
      </c>
      <c r="P6" s="4">
        <f t="shared" si="0"/>
        <v>325054</v>
      </c>
    </row>
    <row r="7" spans="2:16" x14ac:dyDescent="0.25">
      <c r="B7" t="s">
        <v>62</v>
      </c>
      <c r="F7">
        <f t="shared" si="1"/>
        <v>7</v>
      </c>
      <c r="G7">
        <v>14</v>
      </c>
      <c r="H7">
        <v>1</v>
      </c>
      <c r="I7" s="4">
        <f>+G7*Sheet1!$E$2</f>
        <v>105378</v>
      </c>
      <c r="J7" s="4">
        <f>+(Sheet1!$E$5+Sheet1!$E$6)*G7</f>
        <v>5810</v>
      </c>
      <c r="K7" s="4">
        <f>+(Sheet1!$E$7+Sheet1!$E$8)*G7</f>
        <v>7983.5</v>
      </c>
      <c r="L7" s="4">
        <f>+Sheet1!$E$4*H7</f>
        <v>20480</v>
      </c>
      <c r="M7">
        <v>7</v>
      </c>
      <c r="N7" s="4">
        <f>+M7*Sheet1!$C$13</f>
        <v>93100</v>
      </c>
      <c r="O7" s="4">
        <f>+M7*Sheet1!$C$12</f>
        <v>15400</v>
      </c>
      <c r="P7" s="4">
        <f t="shared" si="0"/>
        <v>232751.5</v>
      </c>
    </row>
    <row r="8" spans="2:16" x14ac:dyDescent="0.25">
      <c r="B8" t="s">
        <v>63</v>
      </c>
      <c r="F8">
        <f t="shared" si="1"/>
        <v>7</v>
      </c>
      <c r="G8">
        <v>14</v>
      </c>
      <c r="H8">
        <v>1</v>
      </c>
      <c r="I8" s="4">
        <f>+G8*Sheet1!$E$2</f>
        <v>105378</v>
      </c>
      <c r="J8" s="4">
        <f>+(Sheet1!$E$5+Sheet1!$E$6)*G8</f>
        <v>5810</v>
      </c>
      <c r="K8" s="4">
        <f>+(Sheet1!$E$7+Sheet1!$E$8)*G8</f>
        <v>7983.5</v>
      </c>
      <c r="L8" s="4">
        <f>+Sheet1!$E$4*H8</f>
        <v>20480</v>
      </c>
      <c r="M8">
        <v>8</v>
      </c>
      <c r="N8" s="4">
        <f>+M8*Sheet1!$C$13</f>
        <v>106400</v>
      </c>
      <c r="O8" s="4">
        <f>+M8*Sheet1!$C$12</f>
        <v>17600</v>
      </c>
      <c r="P8" s="4">
        <f t="shared" si="0"/>
        <v>246051.5</v>
      </c>
    </row>
    <row r="9" spans="2:16" x14ac:dyDescent="0.25">
      <c r="B9" t="s">
        <v>64</v>
      </c>
      <c r="F9">
        <f t="shared" si="1"/>
        <v>7</v>
      </c>
      <c r="G9">
        <v>14</v>
      </c>
      <c r="H9">
        <v>1</v>
      </c>
      <c r="I9" s="4">
        <f>+G9*Sheet1!$E$2</f>
        <v>105378</v>
      </c>
      <c r="J9" s="4">
        <f>+(Sheet1!$E$5+Sheet1!$E$6)*G9</f>
        <v>5810</v>
      </c>
      <c r="K9" s="4">
        <f>+(Sheet1!$E$7+Sheet1!$E$8)*G9</f>
        <v>7983.5</v>
      </c>
      <c r="L9" s="4">
        <f>+Sheet1!$E$4*H9</f>
        <v>20480</v>
      </c>
      <c r="M9">
        <v>9</v>
      </c>
      <c r="N9" s="4">
        <f>+M9*Sheet1!$C$13</f>
        <v>119700</v>
      </c>
      <c r="O9" s="4">
        <f>+M9*Sheet1!$C$12</f>
        <v>19800</v>
      </c>
      <c r="P9" s="4">
        <f t="shared" si="0"/>
        <v>259351.5</v>
      </c>
    </row>
    <row r="10" spans="2:16" x14ac:dyDescent="0.25">
      <c r="B10" t="s">
        <v>65</v>
      </c>
      <c r="F10">
        <f t="shared" si="1"/>
        <v>7</v>
      </c>
      <c r="G10">
        <v>14</v>
      </c>
      <c r="H10">
        <v>1</v>
      </c>
      <c r="I10" s="4">
        <f>+G10*Sheet1!$E$2</f>
        <v>105378</v>
      </c>
      <c r="J10" s="4">
        <f>+(Sheet1!$E$5+Sheet1!$E$6)*G10</f>
        <v>5810</v>
      </c>
      <c r="K10" s="4">
        <f>+(Sheet1!$E$7+Sheet1!$E$8)*G10</f>
        <v>7983.5</v>
      </c>
      <c r="L10" s="4">
        <f>+Sheet1!$E$4*H10</f>
        <v>20480</v>
      </c>
      <c r="M10">
        <v>10</v>
      </c>
      <c r="N10" s="4">
        <f>+M10*Sheet1!$C$13</f>
        <v>133000</v>
      </c>
      <c r="O10" s="4">
        <f>+M10*Sheet1!$C$12</f>
        <v>22000</v>
      </c>
      <c r="P10" s="4">
        <f t="shared" si="0"/>
        <v>272651.5</v>
      </c>
    </row>
    <row r="11" spans="2:16" x14ac:dyDescent="0.25">
      <c r="B11" t="s">
        <v>66</v>
      </c>
      <c r="F11">
        <f t="shared" si="1"/>
        <v>7</v>
      </c>
      <c r="G11">
        <v>14</v>
      </c>
      <c r="H11">
        <v>1</v>
      </c>
      <c r="I11" s="4">
        <f>+G11*Sheet1!$E$2</f>
        <v>105378</v>
      </c>
      <c r="J11" s="4">
        <f>+(Sheet1!$E$5+Sheet1!$E$6)*G11</f>
        <v>5810</v>
      </c>
      <c r="K11" s="4">
        <f>+(Sheet1!$E$7+Sheet1!$E$8)*G11</f>
        <v>7983.5</v>
      </c>
      <c r="L11" s="4">
        <f>+Sheet1!$E$4*H11</f>
        <v>20480</v>
      </c>
      <c r="M11">
        <v>11</v>
      </c>
      <c r="N11" s="4">
        <f>+M11*Sheet1!$C$13</f>
        <v>146300</v>
      </c>
      <c r="O11" s="4">
        <f>+M11*Sheet1!$C$12</f>
        <v>24200</v>
      </c>
      <c r="P11" s="4">
        <f t="shared" si="0"/>
        <v>285951.5</v>
      </c>
    </row>
    <row r="12" spans="2:16" x14ac:dyDescent="0.25">
      <c r="B12" t="s">
        <v>67</v>
      </c>
      <c r="F12">
        <f t="shared" si="1"/>
        <v>2</v>
      </c>
      <c r="G12">
        <v>4</v>
      </c>
      <c r="H12">
        <v>1</v>
      </c>
      <c r="I12" s="4">
        <f>+G12*Sheet1!$E$2</f>
        <v>30108</v>
      </c>
      <c r="J12" s="4">
        <f>+(Sheet1!$E$5+Sheet1!$E$6)*G12</f>
        <v>1660</v>
      </c>
      <c r="K12" s="4">
        <f>+(Sheet1!$E$7+Sheet1!$E$8)*G12</f>
        <v>2281</v>
      </c>
      <c r="L12" s="4">
        <f>+Sheet1!$E$4*H12</f>
        <v>20480</v>
      </c>
      <c r="M12">
        <v>12</v>
      </c>
      <c r="N12" s="4">
        <f>+M12*Sheet1!$C$13</f>
        <v>159600</v>
      </c>
      <c r="O12" s="4">
        <f>+M12*Sheet1!$C$12</f>
        <v>26400</v>
      </c>
      <c r="P12" s="4">
        <f t="shared" si="0"/>
        <v>214129</v>
      </c>
    </row>
    <row r="13" spans="2:16" x14ac:dyDescent="0.25">
      <c r="B13" t="s">
        <v>68</v>
      </c>
      <c r="F13">
        <f t="shared" si="1"/>
        <v>7</v>
      </c>
      <c r="G13">
        <v>14</v>
      </c>
      <c r="H13">
        <v>1</v>
      </c>
      <c r="I13" s="4">
        <f>+G13*Sheet1!$E$2</f>
        <v>105378</v>
      </c>
      <c r="J13" s="4">
        <f>+(Sheet1!$E$5+Sheet1!$E$6)*G13</f>
        <v>5810</v>
      </c>
      <c r="K13" s="4">
        <f>+(Sheet1!$E$7+Sheet1!$E$8)*G13</f>
        <v>7983.5</v>
      </c>
      <c r="L13" s="4">
        <f>+Sheet1!$E$4*H13</f>
        <v>20480</v>
      </c>
      <c r="M13">
        <v>13</v>
      </c>
      <c r="N13" s="4">
        <f>+M13*Sheet1!$C$13</f>
        <v>172900</v>
      </c>
      <c r="O13" s="4">
        <f>+M13*Sheet1!$C$12</f>
        <v>28600</v>
      </c>
      <c r="P13" s="4">
        <f t="shared" si="0"/>
        <v>312551.5</v>
      </c>
    </row>
    <row r="14" spans="2:16" x14ac:dyDescent="0.25">
      <c r="B14" t="s">
        <v>69</v>
      </c>
      <c r="F14">
        <f t="shared" si="1"/>
        <v>9</v>
      </c>
      <c r="G14">
        <v>18</v>
      </c>
      <c r="H14">
        <v>1</v>
      </c>
      <c r="I14" s="4">
        <f>+G14*Sheet1!$E$2</f>
        <v>135486</v>
      </c>
      <c r="J14" s="4">
        <f>+(Sheet1!$E$5+Sheet1!$E$6)*G14</f>
        <v>7470</v>
      </c>
      <c r="K14" s="4">
        <f>+(Sheet1!$E$7+Sheet1!$E$8)*G14</f>
        <v>10264.5</v>
      </c>
      <c r="L14" s="4">
        <f>+Sheet1!$E$4*H14</f>
        <v>20480</v>
      </c>
      <c r="M14">
        <v>14</v>
      </c>
      <c r="N14" s="4">
        <f>+M14*Sheet1!$C$13</f>
        <v>186200</v>
      </c>
      <c r="O14" s="4">
        <f>+M14*Sheet1!$C$12</f>
        <v>30800</v>
      </c>
      <c r="P14" s="4">
        <f t="shared" si="0"/>
        <v>359900.5</v>
      </c>
    </row>
    <row r="15" spans="2:16" x14ac:dyDescent="0.25">
      <c r="B15" t="s">
        <v>70</v>
      </c>
      <c r="F15">
        <f t="shared" si="1"/>
        <v>8</v>
      </c>
      <c r="G15">
        <v>16</v>
      </c>
      <c r="H15">
        <v>1</v>
      </c>
      <c r="I15" s="4">
        <f>+G15*Sheet1!$E$2</f>
        <v>120432</v>
      </c>
      <c r="J15" s="4">
        <f>+(Sheet1!$E$5+Sheet1!$E$6)*G15</f>
        <v>6640</v>
      </c>
      <c r="K15" s="4">
        <f>+(Sheet1!$E$7+Sheet1!$E$8)*G15</f>
        <v>9124</v>
      </c>
      <c r="L15" s="4">
        <f>+Sheet1!$E$4*H15</f>
        <v>20480</v>
      </c>
      <c r="M15">
        <v>15</v>
      </c>
      <c r="N15" s="4">
        <f>+M15*Sheet1!$C$13</f>
        <v>199500</v>
      </c>
      <c r="O15" s="4">
        <f>+M15*Sheet1!$C$12</f>
        <v>33000</v>
      </c>
      <c r="P15" s="4">
        <f t="shared" si="0"/>
        <v>356176</v>
      </c>
    </row>
    <row r="16" spans="2:16" x14ac:dyDescent="0.25">
      <c r="B16" t="s">
        <v>71</v>
      </c>
      <c r="F16">
        <f t="shared" si="1"/>
        <v>9</v>
      </c>
      <c r="G16">
        <v>18</v>
      </c>
      <c r="H16">
        <v>1</v>
      </c>
      <c r="I16" s="4">
        <f>+G16*Sheet1!$E$2</f>
        <v>135486</v>
      </c>
      <c r="J16" s="4">
        <f>+(Sheet1!$E$5+Sheet1!$E$6)*G16</f>
        <v>7470</v>
      </c>
      <c r="K16" s="4">
        <f>+(Sheet1!$E$7+Sheet1!$E$8)*G16</f>
        <v>10264.5</v>
      </c>
      <c r="L16" s="4">
        <f>+Sheet1!$E$4*H16</f>
        <v>20480</v>
      </c>
      <c r="M16">
        <v>16</v>
      </c>
      <c r="N16" s="4">
        <f>+M16*Sheet1!$C$13</f>
        <v>212800</v>
      </c>
      <c r="O16" s="4">
        <f>+M16*Sheet1!$C$12</f>
        <v>35200</v>
      </c>
      <c r="P16" s="4">
        <f t="shared" si="0"/>
        <v>386500.5</v>
      </c>
    </row>
    <row r="17" spans="2:16" x14ac:dyDescent="0.25">
      <c r="B17" t="s">
        <v>72</v>
      </c>
      <c r="F17">
        <f t="shared" si="1"/>
        <v>8</v>
      </c>
      <c r="G17">
        <v>16</v>
      </c>
      <c r="H17">
        <v>1</v>
      </c>
      <c r="I17" s="4">
        <f>+G17*Sheet1!$E$2</f>
        <v>120432</v>
      </c>
      <c r="J17" s="4">
        <f>+(Sheet1!$E$5+Sheet1!$E$6)*G17</f>
        <v>6640</v>
      </c>
      <c r="K17" s="4">
        <f>+(Sheet1!$E$7+Sheet1!$E$8)*G17</f>
        <v>9124</v>
      </c>
      <c r="L17" s="4">
        <f>+Sheet1!$E$4*H17</f>
        <v>20480</v>
      </c>
      <c r="M17">
        <v>17</v>
      </c>
      <c r="N17" s="4">
        <f>+M17*Sheet1!$C$13</f>
        <v>226100</v>
      </c>
      <c r="O17" s="4">
        <f>+M17*Sheet1!$C$12</f>
        <v>37400</v>
      </c>
      <c r="P17" s="4">
        <f t="shared" si="0"/>
        <v>382776</v>
      </c>
    </row>
    <row r="18" spans="2:16" x14ac:dyDescent="0.25">
      <c r="B18" t="s">
        <v>73</v>
      </c>
      <c r="F18">
        <f t="shared" si="1"/>
        <v>7</v>
      </c>
      <c r="G18">
        <v>14</v>
      </c>
      <c r="H18">
        <v>1</v>
      </c>
      <c r="I18" s="4">
        <f>+G18*Sheet1!$E$2</f>
        <v>105378</v>
      </c>
      <c r="J18" s="4">
        <f>+(Sheet1!$E$5+Sheet1!$E$6)*G18</f>
        <v>5810</v>
      </c>
      <c r="K18" s="4">
        <f>+(Sheet1!$E$7+Sheet1!$E$8)*G18</f>
        <v>7983.5</v>
      </c>
      <c r="L18" s="4">
        <f>+Sheet1!$E$4*H18</f>
        <v>20480</v>
      </c>
      <c r="M18">
        <v>18</v>
      </c>
      <c r="N18" s="4">
        <f>+M18*Sheet1!$C$13</f>
        <v>239400</v>
      </c>
      <c r="O18" s="4">
        <f>+M18*Sheet1!$C$12</f>
        <v>39600</v>
      </c>
      <c r="P18" s="4">
        <f t="shared" si="0"/>
        <v>379051.5</v>
      </c>
    </row>
    <row r="19" spans="2:16" x14ac:dyDescent="0.25">
      <c r="B19" t="s">
        <v>74</v>
      </c>
      <c r="F19">
        <f t="shared" si="1"/>
        <v>7</v>
      </c>
      <c r="G19">
        <v>14</v>
      </c>
      <c r="H19">
        <v>1</v>
      </c>
      <c r="I19" s="4">
        <f>+G19*Sheet1!$E$2</f>
        <v>105378</v>
      </c>
      <c r="J19" s="4">
        <f>+(Sheet1!$E$5+Sheet1!$E$6)*G19</f>
        <v>5810</v>
      </c>
      <c r="K19" s="4">
        <f>+(Sheet1!$E$7+Sheet1!$E$8)*G19</f>
        <v>7983.5</v>
      </c>
      <c r="L19" s="4">
        <f>+Sheet1!$E$4*H19</f>
        <v>20480</v>
      </c>
      <c r="M19">
        <v>19</v>
      </c>
      <c r="N19" s="4">
        <f>+M19*Sheet1!$C$13</f>
        <v>252700</v>
      </c>
      <c r="O19" s="4">
        <f>+M19*Sheet1!$C$12</f>
        <v>41800</v>
      </c>
      <c r="P19" s="4">
        <f t="shared" si="0"/>
        <v>392351.5</v>
      </c>
    </row>
    <row r="20" spans="2:16" x14ac:dyDescent="0.25">
      <c r="N20" s="2" t="s">
        <v>54</v>
      </c>
      <c r="O20" s="2"/>
      <c r="P20" s="5">
        <f>SUM(P2:P19)</f>
        <v>5187558.5</v>
      </c>
    </row>
    <row r="21" spans="2:16" x14ac:dyDescent="0.25">
      <c r="N21" s="6" t="s">
        <v>55</v>
      </c>
      <c r="O21" s="6"/>
    </row>
    <row r="22" spans="2:16" x14ac:dyDescent="0.25">
      <c r="N22" t="s">
        <v>7</v>
      </c>
      <c r="P22" s="4">
        <f>+Sheet1!$C$11*4</f>
        <v>66048</v>
      </c>
    </row>
    <row r="23" spans="2:16" x14ac:dyDescent="0.25">
      <c r="N23" t="s">
        <v>43</v>
      </c>
      <c r="P23" s="4">
        <f>+Sheet1!$C$10*4</f>
        <v>38400</v>
      </c>
    </row>
    <row r="25" spans="2:16" x14ac:dyDescent="0.25">
      <c r="M25" s="10" t="s">
        <v>20</v>
      </c>
      <c r="N25" s="7" t="s">
        <v>56</v>
      </c>
      <c r="O25" s="8"/>
      <c r="P25" s="9">
        <f>+P20+P22+P23</f>
        <v>5292006.5</v>
      </c>
    </row>
    <row r="28" spans="2:16" x14ac:dyDescent="0.25">
      <c r="B28" s="2" t="s">
        <v>22</v>
      </c>
      <c r="F28" s="2" t="s">
        <v>21</v>
      </c>
      <c r="G28" s="2" t="s">
        <v>32</v>
      </c>
      <c r="H28" s="2" t="s">
        <v>50</v>
      </c>
      <c r="I28" s="2" t="s">
        <v>47</v>
      </c>
      <c r="J28" s="2" t="s">
        <v>48</v>
      </c>
      <c r="K28" s="2" t="s">
        <v>49</v>
      </c>
      <c r="L28" s="2" t="s">
        <v>10</v>
      </c>
      <c r="M28" s="2" t="s">
        <v>52</v>
      </c>
      <c r="N28" s="2" t="s">
        <v>51</v>
      </c>
      <c r="O28" s="2" t="s">
        <v>8</v>
      </c>
      <c r="P28" s="2" t="s">
        <v>53</v>
      </c>
    </row>
    <row r="29" spans="2:16" x14ac:dyDescent="0.25">
      <c r="B29" t="s">
        <v>57</v>
      </c>
      <c r="F29">
        <v>7</v>
      </c>
      <c r="G29">
        <v>14</v>
      </c>
      <c r="H29">
        <v>7</v>
      </c>
      <c r="I29" s="4">
        <f>+G29*Sheet1!$E$2</f>
        <v>105378</v>
      </c>
      <c r="J29" s="4">
        <f>+(Sheet1!$E$5+Sheet1!$E$6)*G29</f>
        <v>5810</v>
      </c>
      <c r="K29" s="4">
        <f>+(Sheet1!$E$7+Sheet1!$E$8)*G29</f>
        <v>7983.5</v>
      </c>
      <c r="L29" s="4">
        <f>+Sheet1!$E$4*H29</f>
        <v>143360</v>
      </c>
      <c r="M29">
        <v>7</v>
      </c>
      <c r="N29" s="4">
        <f>+M29*Sheet1!$C$13</f>
        <v>93100</v>
      </c>
      <c r="O29" s="4">
        <f>+M29*Sheet1!$C$12</f>
        <v>15400</v>
      </c>
      <c r="P29" s="4">
        <f>+N29+L29+K29+J29+I29</f>
        <v>355631.5</v>
      </c>
    </row>
    <row r="30" spans="2:16" x14ac:dyDescent="0.25">
      <c r="N30" s="6" t="s">
        <v>55</v>
      </c>
      <c r="O30" s="6"/>
    </row>
    <row r="31" spans="2:16" x14ac:dyDescent="0.25">
      <c r="N31" t="s">
        <v>7</v>
      </c>
      <c r="P31" s="4">
        <f>+Sheet1!$C$11</f>
        <v>16512</v>
      </c>
    </row>
    <row r="32" spans="2:16" x14ac:dyDescent="0.25">
      <c r="N32" t="s">
        <v>43</v>
      </c>
      <c r="P32" s="4">
        <f>+Sheet1!$C$10</f>
        <v>9600</v>
      </c>
    </row>
    <row r="33" spans="2:16" x14ac:dyDescent="0.25">
      <c r="M33" s="10" t="s">
        <v>22</v>
      </c>
      <c r="N33" s="7" t="s">
        <v>56</v>
      </c>
      <c r="O33" s="8"/>
      <c r="P33" s="9">
        <f>+P32+P31+P29</f>
        <v>381743.5</v>
      </c>
    </row>
    <row r="36" spans="2:16" x14ac:dyDescent="0.25">
      <c r="B36" s="2" t="s">
        <v>27</v>
      </c>
      <c r="F36" s="2" t="s">
        <v>21</v>
      </c>
      <c r="G36" s="2" t="s">
        <v>32</v>
      </c>
      <c r="H36" s="2" t="s">
        <v>50</v>
      </c>
      <c r="I36" s="2" t="s">
        <v>47</v>
      </c>
      <c r="J36" s="2" t="s">
        <v>48</v>
      </c>
      <c r="K36" s="2" t="s">
        <v>49</v>
      </c>
      <c r="L36" s="2" t="s">
        <v>10</v>
      </c>
      <c r="M36" s="2" t="s">
        <v>52</v>
      </c>
      <c r="N36" s="2" t="s">
        <v>51</v>
      </c>
      <c r="O36" s="2" t="s">
        <v>8</v>
      </c>
      <c r="P36" s="2" t="s">
        <v>53</v>
      </c>
    </row>
    <row r="37" spans="2:16" x14ac:dyDescent="0.25">
      <c r="B37" s="3" t="s">
        <v>28</v>
      </c>
      <c r="F37">
        <v>8</v>
      </c>
      <c r="G37">
        <v>16</v>
      </c>
      <c r="H37">
        <v>1</v>
      </c>
      <c r="I37" s="4">
        <f>+G37*Sheet1!$E$2</f>
        <v>120432</v>
      </c>
      <c r="J37" s="4">
        <f>+(Sheet1!$E$5+Sheet1!$E$6)*G37</f>
        <v>6640</v>
      </c>
      <c r="K37" s="4">
        <f>+(Sheet1!$E$7+Sheet1!$E$8)*G37</f>
        <v>9124</v>
      </c>
      <c r="L37" s="4">
        <f>+Sheet1!$E$4*H37</f>
        <v>20480</v>
      </c>
      <c r="M37">
        <v>7</v>
      </c>
      <c r="N37" s="4">
        <f>+M37*Sheet1!$C$13</f>
        <v>93100</v>
      </c>
      <c r="O37" s="4">
        <f>+M37*Sheet1!$C$12</f>
        <v>15400</v>
      </c>
      <c r="P37" s="4">
        <f>+N37+L37+K37+J37+I37</f>
        <v>249776</v>
      </c>
    </row>
    <row r="38" spans="2:16" x14ac:dyDescent="0.25">
      <c r="B38" s="3" t="s">
        <v>29</v>
      </c>
      <c r="F38">
        <v>9</v>
      </c>
      <c r="G38">
        <v>18</v>
      </c>
      <c r="H38">
        <v>1</v>
      </c>
      <c r="I38" s="4">
        <f>+G38*Sheet1!$E$2</f>
        <v>135486</v>
      </c>
      <c r="J38" s="4">
        <f>+(Sheet1!$E$5+Sheet1!$E$6)*G38</f>
        <v>7470</v>
      </c>
      <c r="K38" s="4">
        <f>+(Sheet1!$E$7+Sheet1!$E$8)*G38</f>
        <v>10264.5</v>
      </c>
      <c r="L38" s="4">
        <f>+Sheet1!$E$4*H38</f>
        <v>20480</v>
      </c>
      <c r="M38">
        <v>7</v>
      </c>
      <c r="N38" s="4">
        <f>+M38*Sheet1!$C$13</f>
        <v>93100</v>
      </c>
      <c r="O38" s="4">
        <f>+M38*Sheet1!$C$12</f>
        <v>15400</v>
      </c>
      <c r="P38" s="4">
        <f>+N38+L38+K38+J38+I38</f>
        <v>266800.5</v>
      </c>
    </row>
    <row r="39" spans="2:16" x14ac:dyDescent="0.25">
      <c r="B39" s="3" t="s">
        <v>30</v>
      </c>
      <c r="F39">
        <v>8</v>
      </c>
      <c r="G39">
        <v>16</v>
      </c>
      <c r="H39">
        <v>1</v>
      </c>
      <c r="I39" s="4">
        <f>+G39*Sheet1!$E$2</f>
        <v>120432</v>
      </c>
      <c r="J39" s="4">
        <f>+(Sheet1!$E$5+Sheet1!$E$6)*G39</f>
        <v>6640</v>
      </c>
      <c r="K39" s="4">
        <f>+(Sheet1!$E$7+Sheet1!$E$8)*G39</f>
        <v>9124</v>
      </c>
      <c r="L39" s="4">
        <f>+Sheet1!$E$4*H39</f>
        <v>20480</v>
      </c>
      <c r="M39">
        <v>7</v>
      </c>
      <c r="N39" s="4">
        <f>+M39*Sheet1!$C$13</f>
        <v>93100</v>
      </c>
      <c r="O39" s="4">
        <f>+M39*Sheet1!$C$12</f>
        <v>15400</v>
      </c>
      <c r="P39" s="4">
        <f t="shared" ref="P39:P40" si="2">+N39+L39+K39+J39+I39</f>
        <v>249776</v>
      </c>
    </row>
    <row r="40" spans="2:16" x14ac:dyDescent="0.25">
      <c r="B40" s="3" t="s">
        <v>31</v>
      </c>
      <c r="F40">
        <v>1</v>
      </c>
      <c r="G40">
        <v>2</v>
      </c>
      <c r="H40">
        <v>1</v>
      </c>
      <c r="I40" s="4">
        <f>+G40*Sheet1!$E$2</f>
        <v>15054</v>
      </c>
      <c r="J40" s="4">
        <f>+(Sheet1!$E$5+Sheet1!$E$6)*G40</f>
        <v>830</v>
      </c>
      <c r="K40" s="4">
        <f>+(Sheet1!$E$7+Sheet1!$E$8)*G40</f>
        <v>1140.5</v>
      </c>
      <c r="L40" s="4">
        <f>+Sheet1!$E$4*H40</f>
        <v>20480</v>
      </c>
      <c r="M40">
        <v>7</v>
      </c>
      <c r="N40" s="4">
        <f>+M40*Sheet1!$C$13</f>
        <v>93100</v>
      </c>
      <c r="O40" s="4">
        <f>+M40*Sheet1!$C$12</f>
        <v>15400</v>
      </c>
      <c r="P40" s="4">
        <f t="shared" si="2"/>
        <v>130604.5</v>
      </c>
    </row>
    <row r="41" spans="2:16" x14ac:dyDescent="0.25">
      <c r="B41" s="3"/>
      <c r="I41" s="4"/>
      <c r="J41" s="4"/>
      <c r="K41" s="4"/>
      <c r="L41" s="4"/>
      <c r="N41" s="5" t="s">
        <v>54</v>
      </c>
      <c r="O41" s="4"/>
      <c r="P41" s="5">
        <f>SUM(P37:P40)</f>
        <v>896957</v>
      </c>
    </row>
    <row r="42" spans="2:16" x14ac:dyDescent="0.25">
      <c r="N42" s="6" t="s">
        <v>55</v>
      </c>
      <c r="O42" s="6"/>
    </row>
    <row r="43" spans="2:16" x14ac:dyDescent="0.25">
      <c r="N43" t="s">
        <v>7</v>
      </c>
      <c r="P43" s="4">
        <f>+Sheet1!$C$11*2</f>
        <v>33024</v>
      </c>
    </row>
    <row r="44" spans="2:16" x14ac:dyDescent="0.25">
      <c r="N44" t="s">
        <v>43</v>
      </c>
      <c r="P44" s="4">
        <f>+Sheet1!$C$10*2</f>
        <v>19200</v>
      </c>
    </row>
    <row r="45" spans="2:16" x14ac:dyDescent="0.25">
      <c r="M45" s="10" t="s">
        <v>27</v>
      </c>
      <c r="N45" s="7" t="s">
        <v>56</v>
      </c>
      <c r="O45" s="8"/>
      <c r="P45" s="9">
        <f>+P44+P43+P40+P37+P38+P39</f>
        <v>949181</v>
      </c>
    </row>
    <row r="50" spans="2:3" x14ac:dyDescent="0.25">
      <c r="B50" s="6" t="s">
        <v>58</v>
      </c>
    </row>
    <row r="51" spans="2:3" x14ac:dyDescent="0.25">
      <c r="B51" t="s">
        <v>23</v>
      </c>
      <c r="C51" t="s">
        <v>26</v>
      </c>
    </row>
    <row r="52" spans="2:3" x14ac:dyDescent="0.25">
      <c r="B52" t="s">
        <v>24</v>
      </c>
    </row>
    <row r="53" spans="2:3" x14ac:dyDescent="0.25">
      <c r="B53" t="s">
        <v>25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Karsten</dc:creator>
  <cp:lastModifiedBy>Gregory Karsten</cp:lastModifiedBy>
  <dcterms:created xsi:type="dcterms:W3CDTF">2025-11-18T11:55:15Z</dcterms:created>
  <dcterms:modified xsi:type="dcterms:W3CDTF">2025-11-19T14:06:41Z</dcterms:modified>
</cp:coreProperties>
</file>