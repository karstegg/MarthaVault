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10064957\My Drive\GDVault\MarthaVault\00_Inbox\"/>
    </mc:Choice>
  </mc:AlternateContent>
  <xr:revisionPtr revIDLastSave="0" documentId="8_{8E3E3BC8-9167-4608-A677-CA58C396F40A}" xr6:coauthVersionLast="47" xr6:coauthVersionMax="47" xr10:uidLastSave="{00000000-0000-0000-0000-000000000000}"/>
  <bookViews>
    <workbookView xWindow="28680" yWindow="-120" windowWidth="29040" windowHeight="15720" xr2:uid="{3D942532-4A21-49A3-85A5-DACA25F384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 l="1"/>
  <c r="C19" i="1" s="1"/>
  <c r="C34" i="1"/>
  <c r="C29" i="1"/>
  <c r="C24" i="1"/>
  <c r="C11" i="1"/>
  <c r="C13" i="1" s="1"/>
  <c r="C39" i="1" l="1"/>
</calcChain>
</file>

<file path=xl/sharedStrings.xml><?xml version="1.0" encoding="utf-8"?>
<sst xmlns="http://schemas.openxmlformats.org/spreadsheetml/2006/main" count="41" uniqueCount="28">
  <si>
    <t>Design, project manage – Quote</t>
  </si>
  <si>
    <t>Amount</t>
  </si>
  <si>
    <t>Comment</t>
  </si>
  <si>
    <t>Qoute received</t>
  </si>
  <si>
    <t>An amount was received from Stabilis in the initial qoute, an updated qoute was requested and only the date was different, and the amount remained the same.</t>
  </si>
  <si>
    <t>5 x Fire Retardant Doors (Delivery, control and commissioning) – Quote</t>
  </si>
  <si>
    <t>An amount was received from AMS Haden  in the initial qoute, an updated qoute was requested and only the date was different, and the amount remained the same.</t>
  </si>
  <si>
    <t>Vent wall</t>
  </si>
  <si>
    <t>vent wall/m^2</t>
  </si>
  <si>
    <t>The price is  more than the originally calculated because initially, normal vent wall were proposed, but were discarded for brick walls instead to be able to withstand high temparetures. As opposed to the original plan, I think its best they just enclose the workshop. so 11 units will be suffifient for that.</t>
  </si>
  <si>
    <t>m^2</t>
  </si>
  <si>
    <t>No. walls</t>
  </si>
  <si>
    <t>37kW Fan</t>
  </si>
  <si>
    <t>37kW Fan/unit</t>
  </si>
  <si>
    <t>No external contractor will be required to assist with procument and installation, as the Items will be utelised from the mine stores, amount per unit was received from mine financial records of the item</t>
  </si>
  <si>
    <t>Unit(s)</t>
  </si>
  <si>
    <t>760mmX3,6 Air column</t>
  </si>
  <si>
    <t>Air column/unit</t>
  </si>
  <si>
    <t>Industrial fan</t>
  </si>
  <si>
    <t>Industrial fan/unit</t>
  </si>
  <si>
    <t>Vent wall(Brick)</t>
  </si>
  <si>
    <t>Vent wall(Brick at Doors)</t>
  </si>
  <si>
    <t>The  estimate is made by Stabilis, who will assist with the installation of the Vent doors.</t>
  </si>
  <si>
    <t>EC&amp;I SYSTEM – Qoute</t>
  </si>
  <si>
    <t>An amount was received from  SPERO SENSORS &amp; INSTRUMENTS (PTY) LTD in the form of a qoute.</t>
  </si>
  <si>
    <t>Description</t>
  </si>
  <si>
    <t>SUBTOTAL</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</si>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</sst>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quot;* #,##0.00_-;\-&quot;R&quot;* #,##0.00_-;_-&quot;R&quot;* &quot;-&quot;??_-;_-@_-"/>
    <numFmt numFmtId="165" formatCode="_-[$R-1C09]* #,##0.00_-;\-[$R-1C09]* #,##0.00_-;_-[$R-1C09]* &quot;-&quot;??_-;_-@_-"/>
    <numFmt numFmtId="166" formatCode="&quot;R&quot;#,##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2" tint="-9.9978637043366805E-2"/>
        <bgColor indexed="64"/>
      </patternFill>
    </fill>
  </fills>
  <borders count="1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24">
    <xf numFmtId="0" fontId="0" fillId="0" borderId="0" xfId="0"/>
    <xf numFmtId="0" fontId="0" fillId="0" borderId="3" xfId="0" applyBorder="1"/>
    <xf numFmtId="0" fontId="0" fillId="0" borderId="5" xfId="0" applyBorder="1"/>
    <xf numFmtId="0" fontId="0" fillId="0" borderId="4" xfId="0" applyBorder="1" applyAlignment="1">
      <alignment horizontal="left" vertical="center" wrapText="1"/>
    </xf>
    <xf numFmtId="0" fontId="0" fillId="0" borderId="6" xfId="0" applyBorder="1"/>
    <xf numFmtId="0" fontId="2" fillId="0" borderId="0" xfId="0" applyFont="1"/>
    <xf numFmtId="164" fontId="0" fillId="0" borderId="9" xfId="1" applyFont="1" applyBorder="1"/>
    <xf numFmtId="0" fontId="0" fillId="0" borderId="8" xfId="0" applyBorder="1"/>
    <xf numFmtId="164" fontId="0" fillId="0" borderId="8" xfId="1" applyFont="1" applyBorder="1"/>
    <xf numFmtId="165" fontId="0" fillId="0" borderId="8" xfId="1" applyNumberFormat="1" applyFont="1" applyBorder="1"/>
    <xf numFmtId="166" fontId="0" fillId="0" borderId="9" xfId="0" applyNumberFormat="1" applyBorder="1"/>
    <xf numFmtId="0" fontId="0" fillId="0" borderId="11" xfId="0" applyBorder="1"/>
    <xf numFmtId="0" fontId="3" fillId="0" borderId="0" xfId="0" applyFont="1"/>
    <xf numFmtId="0" fontId="0" fillId="0" borderId="4" xfId="0" applyBorder="1" applyAlignment="1">
      <alignment wrapText="1"/>
    </xf>
    <xf numFmtId="0" fontId="0" fillId="0" borderId="7" xfId="0" applyBorder="1" applyAlignment="1">
      <alignment wrapText="1"/>
    </xf>
    <xf numFmtId="0" fontId="3" fillId="2" borderId="1" xfId="0" applyFont="1" applyFill="1" applyBorder="1"/>
    <xf numFmtId="0" fontId="3" fillId="2" borderId="10" xfId="0" applyFont="1" applyFill="1" applyBorder="1"/>
    <xf numFmtId="0" fontId="3" fillId="2" borderId="2" xfId="0" applyFont="1" applyFill="1" applyBorder="1"/>
    <xf numFmtId="0" fontId="2" fillId="3" borderId="5" xfId="0" applyFont="1" applyFill="1" applyBorder="1"/>
    <xf numFmtId="0" fontId="2" fillId="3" borderId="8" xfId="0" applyFont="1" applyFill="1" applyBorder="1"/>
    <xf numFmtId="0" fontId="0" fillId="3" borderId="8" xfId="0" applyFill="1" applyBorder="1"/>
    <xf numFmtId="164" fontId="0" fillId="3" borderId="8" xfId="1" applyFont="1" applyFill="1" applyBorder="1"/>
    <xf numFmtId="0" fontId="2" fillId="0" borderId="3" xfId="0" applyFont="1" applyBorder="1"/>
    <xf numFmtId="0" fontId="0" fillId="0" borderId="4" xfId="0" applyBorder="1" applyAlignment="1">
      <alignment horizontal="lef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C2630.A199D01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17417</xdr:colOff>
      <xdr:row>1</xdr:row>
      <xdr:rowOff>17418</xdr:rowOff>
    </xdr:from>
    <xdr:to>
      <xdr:col>24</xdr:col>
      <xdr:colOff>299358</xdr:colOff>
      <xdr:row>26</xdr:row>
      <xdr:rowOff>94300</xdr:rowOff>
    </xdr:to>
    <xdr:pic>
      <xdr:nvPicPr>
        <xdr:cNvPr id="11" name="Picture 2">
          <a:extLst>
            <a:ext uri="{FF2B5EF4-FFF2-40B4-BE49-F238E27FC236}">
              <a16:creationId xmlns:a16="http://schemas.microsoft.com/office/drawing/2014/main" id="{99B83944-90AB-4FC6-9C8D-172066083F8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1380631" y="207918"/>
          <a:ext cx="11916048" cy="5152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4B1B8-31AC-4A3A-B768-CE7838B76F18}">
  <dimension ref="B1:U52"/>
  <sheetViews>
    <sheetView tabSelected="1" zoomScale="60" zoomScaleNormal="60" workbookViewId="0">
      <selection activeCell="D25" sqref="D25"/>
    </sheetView>
  </sheetViews>
  <sheetFormatPr defaultRowHeight="15" x14ac:dyDescent="0.25"/>
  <cols>
    <col min="1" max="1" width="59.85546875" customWidth="1"/>
    <col min="2" max="2" width="96.5703125" customWidth="1"/>
    <col min="3" max="3" width="16.7109375" customWidth="1"/>
    <col min="4" max="4" width="129.28515625" customWidth="1"/>
  </cols>
  <sheetData>
    <row r="1" spans="2:4" ht="15.75" thickBot="1" x14ac:dyDescent="0.3"/>
    <row r="2" spans="2:4" ht="19.5" thickBot="1" x14ac:dyDescent="0.35">
      <c r="B2" s="15" t="s">
        <v>25</v>
      </c>
      <c r="C2" s="16" t="s">
        <v>1</v>
      </c>
      <c r="D2" s="17" t="s">
        <v>2</v>
      </c>
    </row>
    <row r="3" spans="2:4" x14ac:dyDescent="0.25">
      <c r="B3" s="18" t="s">
        <v>0</v>
      </c>
      <c r="C3" s="19"/>
      <c r="D3" s="13"/>
    </row>
    <row r="4" spans="2:4" ht="36.6" customHeight="1" thickBot="1" x14ac:dyDescent="0.3">
      <c r="B4" s="1" t="s">
        <v>3</v>
      </c>
      <c r="C4" s="6">
        <v>301000</v>
      </c>
      <c r="D4" s="3" t="s">
        <v>4</v>
      </c>
    </row>
    <row r="5" spans="2:4" ht="15.75" thickTop="1" x14ac:dyDescent="0.25">
      <c r="B5" s="2"/>
      <c r="C5" s="7"/>
      <c r="D5" s="3"/>
    </row>
    <row r="6" spans="2:4" x14ac:dyDescent="0.25">
      <c r="B6" s="18" t="s">
        <v>5</v>
      </c>
      <c r="C6" s="20"/>
      <c r="D6" s="3"/>
    </row>
    <row r="7" spans="2:4" ht="30.75" thickBot="1" x14ac:dyDescent="0.3">
      <c r="B7" s="1" t="s">
        <v>3</v>
      </c>
      <c r="C7" s="6">
        <v>1290092.71</v>
      </c>
      <c r="D7" s="3" t="s">
        <v>6</v>
      </c>
    </row>
    <row r="8" spans="2:4" ht="15.75" thickTop="1" x14ac:dyDescent="0.25">
      <c r="B8" s="2"/>
      <c r="C8" s="8"/>
      <c r="D8" s="3"/>
    </row>
    <row r="9" spans="2:4" x14ac:dyDescent="0.25">
      <c r="B9" s="18" t="s">
        <v>21</v>
      </c>
      <c r="C9" s="20"/>
      <c r="D9" s="3"/>
    </row>
    <row r="10" spans="2:4" x14ac:dyDescent="0.25">
      <c r="B10" s="2" t="s">
        <v>8</v>
      </c>
      <c r="C10" s="8">
        <v>1700</v>
      </c>
      <c r="D10" s="23" t="s">
        <v>22</v>
      </c>
    </row>
    <row r="11" spans="2:4" x14ac:dyDescent="0.25">
      <c r="B11" s="2" t="s">
        <v>10</v>
      </c>
      <c r="C11" s="7">
        <f>8*5</f>
        <v>40</v>
      </c>
      <c r="D11" s="23"/>
    </row>
    <row r="12" spans="2:4" x14ac:dyDescent="0.25">
      <c r="B12" s="2" t="s">
        <v>11</v>
      </c>
      <c r="C12" s="7">
        <v>4</v>
      </c>
      <c r="D12" s="23"/>
    </row>
    <row r="13" spans="2:4" ht="15.75" thickBot="1" x14ac:dyDescent="0.3">
      <c r="B13" s="1" t="s">
        <v>7</v>
      </c>
      <c r="C13" s="6">
        <f>C10*C11*C12</f>
        <v>272000</v>
      </c>
      <c r="D13" s="23"/>
    </row>
    <row r="14" spans="2:4" ht="15.75" thickTop="1" x14ac:dyDescent="0.25">
      <c r="B14" s="2"/>
      <c r="C14" s="8"/>
      <c r="D14" s="3"/>
    </row>
    <row r="15" spans="2:4" x14ac:dyDescent="0.25">
      <c r="B15" s="18" t="s">
        <v>20</v>
      </c>
      <c r="C15" s="21"/>
      <c r="D15" s="3"/>
    </row>
    <row r="16" spans="2:4" x14ac:dyDescent="0.25">
      <c r="B16" s="2" t="s">
        <v>8</v>
      </c>
      <c r="C16" s="8">
        <v>1700</v>
      </c>
      <c r="D16" s="23" t="s">
        <v>9</v>
      </c>
    </row>
    <row r="17" spans="2:4" x14ac:dyDescent="0.25">
      <c r="B17" s="2" t="s">
        <v>10</v>
      </c>
      <c r="C17" s="7">
        <f>8*5</f>
        <v>40</v>
      </c>
      <c r="D17" s="23"/>
    </row>
    <row r="18" spans="2:4" x14ac:dyDescent="0.25">
      <c r="B18" s="2" t="s">
        <v>11</v>
      </c>
      <c r="C18" s="7">
        <v>11</v>
      </c>
      <c r="D18" s="23"/>
    </row>
    <row r="19" spans="2:4" ht="15.75" thickBot="1" x14ac:dyDescent="0.3">
      <c r="B19" s="1" t="s">
        <v>7</v>
      </c>
      <c r="C19" s="6">
        <f>C16*C17*C18</f>
        <v>748000</v>
      </c>
      <c r="D19" s="23"/>
    </row>
    <row r="20" spans="2:4" ht="15.75" thickTop="1" x14ac:dyDescent="0.25">
      <c r="B20" s="2"/>
      <c r="C20" s="8"/>
      <c r="D20" s="3"/>
    </row>
    <row r="21" spans="2:4" x14ac:dyDescent="0.25">
      <c r="B21" s="18" t="s">
        <v>12</v>
      </c>
      <c r="C21" s="20"/>
      <c r="D21" s="3"/>
    </row>
    <row r="22" spans="2:4" x14ac:dyDescent="0.25">
      <c r="B22" s="2" t="s">
        <v>13</v>
      </c>
      <c r="C22" s="8">
        <v>105473.5</v>
      </c>
      <c r="D22" s="23" t="s">
        <v>14</v>
      </c>
    </row>
    <row r="23" spans="2:4" x14ac:dyDescent="0.25">
      <c r="B23" s="2" t="s">
        <v>15</v>
      </c>
      <c r="C23" s="7">
        <v>2</v>
      </c>
      <c r="D23" s="23"/>
    </row>
    <row r="24" spans="2:4" ht="15.75" thickBot="1" x14ac:dyDescent="0.3">
      <c r="B24" s="1" t="s">
        <v>12</v>
      </c>
      <c r="C24" s="6">
        <f>C22*C23</f>
        <v>210947</v>
      </c>
      <c r="D24" s="23"/>
    </row>
    <row r="25" spans="2:4" ht="15.75" thickTop="1" x14ac:dyDescent="0.25">
      <c r="B25" s="2"/>
      <c r="C25" s="7"/>
      <c r="D25" s="3"/>
    </row>
    <row r="26" spans="2:4" x14ac:dyDescent="0.25">
      <c r="B26" s="18" t="s">
        <v>16</v>
      </c>
      <c r="C26" s="20"/>
      <c r="D26" s="3"/>
    </row>
    <row r="27" spans="2:4" x14ac:dyDescent="0.25">
      <c r="B27" s="2" t="s">
        <v>17</v>
      </c>
      <c r="C27" s="8">
        <v>2829.12</v>
      </c>
      <c r="D27" s="23" t="s">
        <v>14</v>
      </c>
    </row>
    <row r="28" spans="2:4" x14ac:dyDescent="0.25">
      <c r="B28" s="2" t="s">
        <v>15</v>
      </c>
      <c r="C28" s="7">
        <v>2</v>
      </c>
      <c r="D28" s="23"/>
    </row>
    <row r="29" spans="2:4" ht="15.75" thickBot="1" x14ac:dyDescent="0.3">
      <c r="B29" s="1" t="s">
        <v>16</v>
      </c>
      <c r="C29" s="6">
        <f>C27*C28</f>
        <v>5658.24</v>
      </c>
      <c r="D29" s="23"/>
    </row>
    <row r="30" spans="2:4" ht="15.75" thickTop="1" x14ac:dyDescent="0.25">
      <c r="B30" s="2"/>
      <c r="C30" s="7"/>
      <c r="D30" s="3"/>
    </row>
    <row r="31" spans="2:4" x14ac:dyDescent="0.25">
      <c r="B31" s="18" t="s">
        <v>18</v>
      </c>
      <c r="C31" s="20"/>
      <c r="D31" s="3"/>
    </row>
    <row r="32" spans="2:4" x14ac:dyDescent="0.25">
      <c r="B32" s="2" t="s">
        <v>19</v>
      </c>
      <c r="C32" s="9">
        <v>3999</v>
      </c>
      <c r="D32" s="23" t="s">
        <v>14</v>
      </c>
    </row>
    <row r="33" spans="2:4" x14ac:dyDescent="0.25">
      <c r="B33" s="2" t="s">
        <v>15</v>
      </c>
      <c r="C33" s="7">
        <v>6</v>
      </c>
      <c r="D33" s="23"/>
    </row>
    <row r="34" spans="2:4" ht="15.75" thickBot="1" x14ac:dyDescent="0.3">
      <c r="B34" s="1" t="s">
        <v>18</v>
      </c>
      <c r="C34" s="10">
        <f>C32*C33</f>
        <v>23994</v>
      </c>
      <c r="D34" s="23"/>
    </row>
    <row r="35" spans="2:4" ht="15.75" thickTop="1" x14ac:dyDescent="0.25">
      <c r="B35" s="2"/>
      <c r="C35" s="7"/>
      <c r="D35" s="3"/>
    </row>
    <row r="36" spans="2:4" x14ac:dyDescent="0.25">
      <c r="B36" s="18" t="s">
        <v>23</v>
      </c>
      <c r="C36" s="21"/>
      <c r="D36" s="3"/>
    </row>
    <row r="37" spans="2:4" ht="15.75" thickBot="1" x14ac:dyDescent="0.3">
      <c r="B37" s="1" t="s">
        <v>3</v>
      </c>
      <c r="C37" s="6">
        <v>713386.4</v>
      </c>
      <c r="D37" s="3" t="s">
        <v>24</v>
      </c>
    </row>
    <row r="38" spans="2:4" ht="15.75" thickTop="1" x14ac:dyDescent="0.25">
      <c r="B38" s="2"/>
      <c r="C38" s="7"/>
      <c r="D38" s="13"/>
    </row>
    <row r="39" spans="2:4" ht="15.75" thickBot="1" x14ac:dyDescent="0.3">
      <c r="B39" s="22" t="s">
        <v>26</v>
      </c>
      <c r="C39" s="10">
        <f>SUM(C4,C7,C13,C19,C24,C29,C34,C37)</f>
        <v>3565078.35</v>
      </c>
      <c r="D39" s="13"/>
    </row>
    <row r="40" spans="2:4" ht="16.5" thickTop="1" thickBot="1" x14ac:dyDescent="0.3">
      <c r="B40" s="4"/>
      <c r="C40" s="11"/>
      <c r="D40" s="14"/>
    </row>
    <row r="43" spans="2:4" ht="18.75" x14ac:dyDescent="0.3">
      <c r="B43" s="12"/>
      <c r="C43" s="12"/>
    </row>
    <row r="45" spans="2:4" x14ac:dyDescent="0.25">
      <c r="B45" s="5"/>
    </row>
    <row r="52" spans="21:21" x14ac:dyDescent="0.25">
      <c r="U52" t="s">
        <v>27</v>
      </c>
    </row>
  </sheetData>
  <mergeCells count="5">
    <mergeCell ref="D10:D13"/>
    <mergeCell ref="D22:D24"/>
    <mergeCell ref="D27:D29"/>
    <mergeCell ref="D32:D34"/>
    <mergeCell ref="D16:D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Mduduzi Mabona</dc:creator>
  <cp:lastModifiedBy>Gregory Karsten</cp:lastModifiedBy>
  <dcterms:created xsi:type="dcterms:W3CDTF">2025-10-22T03:01:25Z</dcterms:created>
  <dcterms:modified xsi:type="dcterms:W3CDTF">2025-10-30T11:01:30Z</dcterms:modified>
</cp:coreProperties>
</file>