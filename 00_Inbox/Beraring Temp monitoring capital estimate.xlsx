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64957\My Drive\GDVault\MarthaVault\00_Inbox\"/>
    </mc:Choice>
  </mc:AlternateContent>
  <xr:revisionPtr revIDLastSave="0" documentId="8_{7DA6047C-6DA7-49B5-A832-61CD01D0D412}" xr6:coauthVersionLast="47" xr6:coauthVersionMax="47" xr10:uidLastSave="{00000000-0000-0000-0000-000000000000}"/>
  <bookViews>
    <workbookView xWindow="-120" yWindow="-120" windowWidth="29040" windowHeight="15720" activeTab="1" xr2:uid="{26256806-646B-410B-99AC-2ABEBF893D43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2" l="1"/>
  <c r="P27" i="2"/>
  <c r="P26" i="2"/>
  <c r="O24" i="2"/>
  <c r="N24" i="2"/>
  <c r="L24" i="2"/>
  <c r="K24" i="2"/>
  <c r="J24" i="2"/>
  <c r="P24" i="2" s="1"/>
  <c r="I24" i="2"/>
  <c r="O23" i="2"/>
  <c r="N23" i="2"/>
  <c r="P23" i="2" s="1"/>
  <c r="L23" i="2"/>
  <c r="K23" i="2"/>
  <c r="J23" i="2"/>
  <c r="I23" i="2"/>
  <c r="O22" i="2"/>
  <c r="N22" i="2"/>
  <c r="P22" i="2" s="1"/>
  <c r="L22" i="2"/>
  <c r="K22" i="2"/>
  <c r="J22" i="2"/>
  <c r="I22" i="2"/>
  <c r="O21" i="2"/>
  <c r="N21" i="2"/>
  <c r="L21" i="2"/>
  <c r="K21" i="2"/>
  <c r="J21" i="2"/>
  <c r="I21" i="2"/>
  <c r="P15" i="2"/>
  <c r="P17" i="2" s="1"/>
  <c r="P6" i="2"/>
  <c r="P16" i="2"/>
  <c r="O13" i="2"/>
  <c r="N13" i="2"/>
  <c r="P13" i="2" s="1"/>
  <c r="L13" i="2"/>
  <c r="K13" i="2"/>
  <c r="J13" i="2"/>
  <c r="I13" i="2"/>
  <c r="P7" i="2"/>
  <c r="O3" i="2"/>
  <c r="O2" i="2"/>
  <c r="N3" i="2"/>
  <c r="L3" i="2"/>
  <c r="N2" i="2"/>
  <c r="L2" i="2"/>
  <c r="E8" i="1"/>
  <c r="D8" i="1"/>
  <c r="E6" i="1"/>
  <c r="E5" i="1"/>
  <c r="E4" i="1"/>
  <c r="E3" i="1"/>
  <c r="E2" i="1"/>
  <c r="E7" i="1"/>
  <c r="G3" i="2"/>
  <c r="K3" i="2" s="1"/>
  <c r="G2" i="2"/>
  <c r="K2" i="2" s="1"/>
  <c r="L3" i="1"/>
  <c r="P21" i="2" l="1"/>
  <c r="I3" i="2"/>
  <c r="J3" i="2"/>
  <c r="P3" i="2" s="1"/>
  <c r="I2" i="2"/>
  <c r="J2" i="2"/>
  <c r="P2" i="2" s="1"/>
  <c r="P4" i="2" l="1"/>
  <c r="P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Gregory Karsten</author>
  </authors>
  <commentList>
    <comment ref="H1" authorId="0" shapeId="0" xr:uid="{19B1514C-8C15-455F-9735-DEFBD2C14097}">
      <text>
        <r>
          <rPr>
            <b/>
            <sz val="9"/>
            <color indexed="81"/>
            <rFont val="Tahoma"/>
            <family val="2"/>
          </rPr>
          <t>Gregory Karsten:</t>
        </r>
        <r>
          <rPr>
            <sz val="9"/>
            <color indexed="81"/>
            <rFont val="Tahoma"/>
            <family val="2"/>
          </rPr>
          <t xml:space="preserve">
Maximum LOS for BT = 700m</t>
        </r>
      </text>
    </comment>
    <comment ref="H12" authorId="0" shapeId="0" xr:uid="{0E8AF660-02A3-469D-B53C-48123CE14D66}">
      <text>
        <r>
          <rPr>
            <b/>
            <sz val="9"/>
            <color indexed="81"/>
            <rFont val="Tahoma"/>
            <family val="2"/>
          </rPr>
          <t>Gregory Karsten:</t>
        </r>
        <r>
          <rPr>
            <sz val="9"/>
            <color indexed="81"/>
            <rFont val="Tahoma"/>
            <family val="2"/>
          </rPr>
          <t xml:space="preserve">
Maximum LOS for BT = 700m</t>
        </r>
      </text>
    </comment>
    <comment ref="H20" authorId="0" shapeId="0" xr:uid="{34497327-8759-4969-9E67-8203E18104A7}">
      <text>
        <r>
          <rPr>
            <b/>
            <sz val="9"/>
            <color indexed="81"/>
            <rFont val="Tahoma"/>
            <family val="2"/>
          </rPr>
          <t>Gregory Karsten:</t>
        </r>
        <r>
          <rPr>
            <sz val="9"/>
            <color indexed="81"/>
            <rFont val="Tahoma"/>
            <family val="2"/>
          </rPr>
          <t xml:space="preserve">
Maximum LOS for BT = 700m</t>
        </r>
      </text>
    </comment>
  </commentList>
</comments>
</file>

<file path=xl/sharedStrings.xml><?xml version="1.0" encoding="utf-8"?>
<sst xmlns="http://schemas.openxmlformats.org/spreadsheetml/2006/main" count="99" uniqueCount="59">
  <si>
    <t>Glue</t>
  </si>
  <si>
    <t>Nozzles</t>
  </si>
  <si>
    <t>senors</t>
  </si>
  <si>
    <t>sensors</t>
  </si>
  <si>
    <t xml:space="preserve">Initial setup </t>
  </si>
  <si>
    <t>Installation per day ( 2 people, 20-25 sensors per day)</t>
  </si>
  <si>
    <t>Softwa</t>
  </si>
  <si>
    <t>Travel</t>
  </si>
  <si>
    <t>Accommodation</t>
  </si>
  <si>
    <t>Accommodation / day</t>
  </si>
  <si>
    <t>Gateway</t>
  </si>
  <si>
    <t>Gateway - 100 sensors</t>
  </si>
  <si>
    <t>Motors en Ratkaste</t>
  </si>
  <si>
    <t>Pulleys</t>
  </si>
  <si>
    <t>power supply = 220V</t>
  </si>
  <si>
    <t>Alarms en trends. Can get free excess. No license fees. No yearly fees.</t>
  </si>
  <si>
    <t xml:space="preserve">Users. Unlimited </t>
  </si>
  <si>
    <t>Monitoring sevrice = once off cost. + R3.8k per sensor per year</t>
  </si>
  <si>
    <t>Orepass feed belt andd</t>
  </si>
  <si>
    <t>Crusher feed belt at 2W plant</t>
  </si>
  <si>
    <t>N2</t>
  </si>
  <si>
    <t># Pulleys</t>
  </si>
  <si>
    <t>N3</t>
  </si>
  <si>
    <t>R3.3m</t>
  </si>
  <si>
    <t>All UG belts</t>
  </si>
  <si>
    <t>Decline completed</t>
  </si>
  <si>
    <t>13 belts</t>
  </si>
  <si>
    <t>Gloria</t>
  </si>
  <si>
    <t>1. CV78</t>
  </si>
  <si>
    <t>2. CV75</t>
  </si>
  <si>
    <t>3. CV51</t>
  </si>
  <si>
    <t>4. CV10</t>
  </si>
  <si>
    <t># Sensors</t>
  </si>
  <si>
    <t>TcA Sensor</t>
  </si>
  <si>
    <t>HF+2 Sensor</t>
  </si>
  <si>
    <t>High Speed</t>
  </si>
  <si>
    <t>Steel base (1 / sensor)</t>
  </si>
  <si>
    <t>Spacer (1 per sensor)</t>
  </si>
  <si>
    <t>Glue (1 tube =10 sensors)</t>
  </si>
  <si>
    <t>Per sensor</t>
  </si>
  <si>
    <t>Cost</t>
  </si>
  <si>
    <t>Qty</t>
  </si>
  <si>
    <t>Nozzle Box</t>
  </si>
  <si>
    <t>Initial setup</t>
  </si>
  <si>
    <t>Installation per day (2 people)</t>
  </si>
  <si>
    <t>20-25 sensors per day</t>
  </si>
  <si>
    <t>Days</t>
  </si>
  <si>
    <t>Sensor cost</t>
  </si>
  <si>
    <t>Base &amp; Spacer</t>
  </si>
  <si>
    <t>Consumables</t>
  </si>
  <si>
    <t># Gateways</t>
  </si>
  <si>
    <t>Labour Cost</t>
  </si>
  <si>
    <t># Days</t>
  </si>
  <si>
    <t>Total Parts &amp; Labour</t>
  </si>
  <si>
    <t>TOTAL</t>
  </si>
  <si>
    <t>ONCE OFF</t>
  </si>
  <si>
    <t>GRAND TOTAL</t>
  </si>
  <si>
    <t>All split bearings on new belt drive pulleys</t>
  </si>
  <si>
    <t>N3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</si>
</sst>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[$R-1C09]* #,##0_-;\-[$R-1C09]* #,##0_-;_-[$R-1C09]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170" fontId="0" fillId="0" borderId="0" xfId="0" applyNumberFormat="1"/>
    <xf numFmtId="170" fontId="1" fillId="0" borderId="0" xfId="0" applyNumberFormat="1" applyFont="1"/>
    <xf numFmtId="0" fontId="5" fillId="0" borderId="0" xfId="0" applyFont="1"/>
    <xf numFmtId="0" fontId="1" fillId="2" borderId="0" xfId="0" applyFont="1" applyFill="1"/>
    <xf numFmtId="0" fontId="0" fillId="2" borderId="0" xfId="0" applyFill="1"/>
    <xf numFmtId="170" fontId="1" fillId="2" borderId="0" xfId="0" applyNumberFormat="1" applyFont="1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44E4-EFE5-4C05-A4D5-65F3F60D87AF}">
  <dimension ref="B1:M20"/>
  <sheetViews>
    <sheetView workbookViewId="0">
      <selection activeCell="C2" sqref="C2"/>
    </sheetView>
  </sheetViews>
  <sheetFormatPr defaultRowHeight="15" x14ac:dyDescent="0.25"/>
  <cols>
    <col min="2" max="2" width="23.42578125" bestFit="1" customWidth="1"/>
    <col min="5" max="5" width="10.28515625" bestFit="1" customWidth="1"/>
    <col min="11" max="11" width="49" bestFit="1" customWidth="1"/>
  </cols>
  <sheetData>
    <row r="1" spans="2:13" x14ac:dyDescent="0.25">
      <c r="C1" s="2" t="s">
        <v>40</v>
      </c>
      <c r="D1" s="2" t="s">
        <v>41</v>
      </c>
      <c r="E1" s="2" t="s">
        <v>39</v>
      </c>
    </row>
    <row r="2" spans="2:13" x14ac:dyDescent="0.25">
      <c r="B2" t="s">
        <v>33</v>
      </c>
      <c r="C2">
        <v>7527</v>
      </c>
      <c r="D2">
        <v>1</v>
      </c>
      <c r="E2">
        <f t="shared" ref="E2:E6" si="0">+C2*D2</f>
        <v>7527</v>
      </c>
      <c r="K2" t="s">
        <v>0</v>
      </c>
      <c r="L2">
        <v>10</v>
      </c>
      <c r="M2" t="s">
        <v>2</v>
      </c>
    </row>
    <row r="3" spans="2:13" x14ac:dyDescent="0.25">
      <c r="B3" t="s">
        <v>34</v>
      </c>
      <c r="C3">
        <v>10934</v>
      </c>
      <c r="D3">
        <v>1</v>
      </c>
      <c r="E3">
        <f t="shared" si="0"/>
        <v>10934</v>
      </c>
      <c r="F3" t="s">
        <v>35</v>
      </c>
      <c r="K3" t="s">
        <v>1</v>
      </c>
      <c r="L3">
        <f>4*72</f>
        <v>288</v>
      </c>
      <c r="M3" t="s">
        <v>3</v>
      </c>
    </row>
    <row r="4" spans="2:13" x14ac:dyDescent="0.25">
      <c r="B4" t="s">
        <v>10</v>
      </c>
      <c r="C4">
        <v>20480</v>
      </c>
      <c r="D4">
        <v>1</v>
      </c>
      <c r="E4">
        <f t="shared" si="0"/>
        <v>20480</v>
      </c>
      <c r="K4" t="s">
        <v>4</v>
      </c>
      <c r="L4" t="s">
        <v>6</v>
      </c>
    </row>
    <row r="5" spans="2:13" x14ac:dyDescent="0.25">
      <c r="B5" t="s">
        <v>36</v>
      </c>
      <c r="C5">
        <v>130</v>
      </c>
      <c r="D5">
        <v>1</v>
      </c>
      <c r="E5">
        <f t="shared" si="0"/>
        <v>130</v>
      </c>
      <c r="K5" t="s">
        <v>5</v>
      </c>
      <c r="L5">
        <v>15295</v>
      </c>
    </row>
    <row r="6" spans="2:13" x14ac:dyDescent="0.25">
      <c r="B6" t="s">
        <v>37</v>
      </c>
      <c r="C6">
        <v>285</v>
      </c>
      <c r="D6">
        <v>1</v>
      </c>
      <c r="E6">
        <f t="shared" si="0"/>
        <v>285</v>
      </c>
      <c r="K6" t="s">
        <v>7</v>
      </c>
      <c r="L6">
        <v>18988</v>
      </c>
    </row>
    <row r="7" spans="2:13" x14ac:dyDescent="0.25">
      <c r="B7" t="s">
        <v>38</v>
      </c>
      <c r="C7">
        <v>5600</v>
      </c>
      <c r="D7">
        <v>0.1</v>
      </c>
      <c r="E7">
        <f>+C7*D7</f>
        <v>560</v>
      </c>
      <c r="K7" t="s">
        <v>9</v>
      </c>
      <c r="L7">
        <v>2200</v>
      </c>
    </row>
    <row r="8" spans="2:13" x14ac:dyDescent="0.25">
      <c r="B8" t="s">
        <v>42</v>
      </c>
      <c r="C8">
        <v>2952</v>
      </c>
      <c r="D8">
        <f>1/288</f>
        <v>3.472222222222222E-3</v>
      </c>
      <c r="E8">
        <f>+C8*D8</f>
        <v>10.25</v>
      </c>
      <c r="K8" t="s">
        <v>11</v>
      </c>
    </row>
    <row r="10" spans="2:13" x14ac:dyDescent="0.25">
      <c r="B10" t="s">
        <v>43</v>
      </c>
      <c r="C10">
        <v>9600</v>
      </c>
      <c r="K10" t="s">
        <v>12</v>
      </c>
    </row>
    <row r="11" spans="2:13" x14ac:dyDescent="0.25">
      <c r="B11" t="s">
        <v>7</v>
      </c>
      <c r="C11">
        <v>16512</v>
      </c>
      <c r="E11" t="s">
        <v>46</v>
      </c>
      <c r="K11" t="s">
        <v>13</v>
      </c>
    </row>
    <row r="12" spans="2:13" x14ac:dyDescent="0.25">
      <c r="B12" t="s">
        <v>9</v>
      </c>
      <c r="C12">
        <v>2200</v>
      </c>
      <c r="E12" t="s">
        <v>46</v>
      </c>
    </row>
    <row r="13" spans="2:13" x14ac:dyDescent="0.25">
      <c r="B13" t="s">
        <v>44</v>
      </c>
      <c r="C13">
        <v>13300</v>
      </c>
      <c r="E13" t="s">
        <v>46</v>
      </c>
      <c r="F13" t="s">
        <v>45</v>
      </c>
      <c r="K13" t="s">
        <v>14</v>
      </c>
    </row>
    <row r="15" spans="2:13" x14ac:dyDescent="0.25">
      <c r="K15" t="s">
        <v>15</v>
      </c>
    </row>
    <row r="16" spans="2:13" x14ac:dyDescent="0.25">
      <c r="K16" t="s">
        <v>17</v>
      </c>
    </row>
    <row r="17" spans="2:11" x14ac:dyDescent="0.25">
      <c r="K17" t="s">
        <v>16</v>
      </c>
    </row>
    <row r="20" spans="2:11" x14ac:dyDescent="0.25">
      <c r="B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4542-314C-4B68-BEB6-A1F300014BA4}">
  <dimension ref="B1:P36"/>
  <sheetViews>
    <sheetView tabSelected="1" workbookViewId="0">
      <selection activeCell="R9" sqref="R9"/>
    </sheetView>
  </sheetViews>
  <sheetFormatPr defaultRowHeight="15" x14ac:dyDescent="0.25"/>
  <cols>
    <col min="7" max="7" width="9.42578125" bestFit="1" customWidth="1"/>
    <col min="8" max="8" width="11.140625" bestFit="1" customWidth="1"/>
    <col min="9" max="9" width="11.7109375" bestFit="1" customWidth="1"/>
    <col min="10" max="10" width="13.7109375" bestFit="1" customWidth="1"/>
    <col min="11" max="11" width="13.5703125" bestFit="1" customWidth="1"/>
    <col min="12" max="12" width="13.42578125" customWidth="1"/>
    <col min="13" max="13" width="10.42578125" bestFit="1" customWidth="1"/>
    <col min="14" max="14" width="11.85546875" bestFit="1" customWidth="1"/>
    <col min="15" max="15" width="11.85546875" customWidth="1"/>
    <col min="16" max="16" width="19" bestFit="1" customWidth="1"/>
  </cols>
  <sheetData>
    <row r="1" spans="2:16" x14ac:dyDescent="0.25">
      <c r="B1" s="2" t="s">
        <v>20</v>
      </c>
      <c r="F1" s="2" t="s">
        <v>21</v>
      </c>
      <c r="G1" s="2" t="s">
        <v>32</v>
      </c>
      <c r="H1" s="2" t="s">
        <v>50</v>
      </c>
      <c r="I1" s="2" t="s">
        <v>47</v>
      </c>
      <c r="J1" s="2" t="s">
        <v>48</v>
      </c>
      <c r="K1" s="2" t="s">
        <v>49</v>
      </c>
      <c r="L1" s="2" t="s">
        <v>10</v>
      </c>
      <c r="M1" s="2" t="s">
        <v>52</v>
      </c>
      <c r="N1" s="2" t="s">
        <v>51</v>
      </c>
      <c r="O1" s="2" t="s">
        <v>8</v>
      </c>
      <c r="P1" s="2" t="s">
        <v>53</v>
      </c>
    </row>
    <row r="2" spans="2:16" x14ac:dyDescent="0.25">
      <c r="B2" t="s">
        <v>19</v>
      </c>
      <c r="F2">
        <v>4</v>
      </c>
      <c r="G2">
        <f>F2*2</f>
        <v>8</v>
      </c>
      <c r="H2">
        <v>1</v>
      </c>
      <c r="I2" s="4">
        <f>+G2*Sheet1!$E$2</f>
        <v>60216</v>
      </c>
      <c r="J2" s="4">
        <f>+(Sheet1!$E$5+Sheet1!$E$6)*G2</f>
        <v>3320</v>
      </c>
      <c r="K2" s="4">
        <f>+(Sheet1!$E$7+Sheet1!$E$8)*G2</f>
        <v>4562</v>
      </c>
      <c r="L2" s="4">
        <f>+Sheet1!$E$4*H2</f>
        <v>20480</v>
      </c>
      <c r="M2">
        <v>2</v>
      </c>
      <c r="N2" s="4">
        <f>+M2*Sheet1!$C$13</f>
        <v>26600</v>
      </c>
      <c r="O2" s="4">
        <f>+M2*Sheet1!$C$12</f>
        <v>4400</v>
      </c>
      <c r="P2" s="4">
        <f>+N2+L2+K2+J2+I2</f>
        <v>115178</v>
      </c>
    </row>
    <row r="3" spans="2:16" x14ac:dyDescent="0.25">
      <c r="B3" t="s">
        <v>18</v>
      </c>
      <c r="F3">
        <v>16</v>
      </c>
      <c r="G3">
        <f>F3*2</f>
        <v>32</v>
      </c>
      <c r="H3">
        <v>2</v>
      </c>
      <c r="I3" s="4">
        <f>+G3*Sheet1!$E$2</f>
        <v>240864</v>
      </c>
      <c r="J3" s="4">
        <f>+(Sheet1!$E$5+Sheet1!$E$6)*G3</f>
        <v>13280</v>
      </c>
      <c r="K3" s="4">
        <f>+(Sheet1!$E$7+Sheet1!$E$8)*G3</f>
        <v>18248</v>
      </c>
      <c r="L3" s="4">
        <f>+Sheet1!$E$4*H3</f>
        <v>40960</v>
      </c>
      <c r="M3">
        <v>3</v>
      </c>
      <c r="N3" s="4">
        <f>+M3*Sheet1!$C$13</f>
        <v>39900</v>
      </c>
      <c r="O3" s="4">
        <f>+M3*Sheet1!$C$12</f>
        <v>6600</v>
      </c>
      <c r="P3" s="4">
        <f>+N3+L3+K3+J3+I3</f>
        <v>353252</v>
      </c>
    </row>
    <row r="4" spans="2:16" x14ac:dyDescent="0.25">
      <c r="N4" s="2" t="s">
        <v>54</v>
      </c>
      <c r="O4" s="2"/>
      <c r="P4" s="5">
        <f>SUM(P2:P3)</f>
        <v>468430</v>
      </c>
    </row>
    <row r="5" spans="2:16" x14ac:dyDescent="0.25">
      <c r="N5" s="6" t="s">
        <v>55</v>
      </c>
      <c r="O5" s="6"/>
    </row>
    <row r="6" spans="2:16" x14ac:dyDescent="0.25">
      <c r="N6" t="s">
        <v>7</v>
      </c>
      <c r="P6">
        <f>+Sheet1!$C$11</f>
        <v>16512</v>
      </c>
    </row>
    <row r="7" spans="2:16" x14ac:dyDescent="0.25">
      <c r="N7" t="s">
        <v>43</v>
      </c>
      <c r="P7">
        <f>+Sheet1!$C$10</f>
        <v>9600</v>
      </c>
    </row>
    <row r="9" spans="2:16" x14ac:dyDescent="0.25">
      <c r="M9" s="10" t="s">
        <v>20</v>
      </c>
      <c r="N9" s="7" t="s">
        <v>56</v>
      </c>
      <c r="O9" s="8"/>
      <c r="P9" s="9">
        <f>+P4+P6+P7</f>
        <v>494542</v>
      </c>
    </row>
    <row r="12" spans="2:16" x14ac:dyDescent="0.25">
      <c r="B12" s="2" t="s">
        <v>22</v>
      </c>
      <c r="F12" s="2" t="s">
        <v>21</v>
      </c>
      <c r="G12" s="2" t="s">
        <v>32</v>
      </c>
      <c r="H12" s="2" t="s">
        <v>50</v>
      </c>
      <c r="I12" s="2" t="s">
        <v>47</v>
      </c>
      <c r="J12" s="2" t="s">
        <v>48</v>
      </c>
      <c r="K12" s="2" t="s">
        <v>49</v>
      </c>
      <c r="L12" s="2" t="s">
        <v>10</v>
      </c>
      <c r="M12" s="2" t="s">
        <v>52</v>
      </c>
      <c r="N12" s="2" t="s">
        <v>51</v>
      </c>
      <c r="O12" s="2" t="s">
        <v>8</v>
      </c>
      <c r="P12" s="2" t="s">
        <v>53</v>
      </c>
    </row>
    <row r="13" spans="2:16" x14ac:dyDescent="0.25">
      <c r="B13" t="s">
        <v>57</v>
      </c>
      <c r="F13">
        <v>7</v>
      </c>
      <c r="G13">
        <v>14</v>
      </c>
      <c r="H13">
        <v>7</v>
      </c>
      <c r="I13" s="4">
        <f>+G13*Sheet1!$E$2</f>
        <v>105378</v>
      </c>
      <c r="J13" s="4">
        <f>+(Sheet1!$E$5+Sheet1!$E$6)*G13</f>
        <v>5810</v>
      </c>
      <c r="K13" s="4">
        <f>+(Sheet1!$E$7+Sheet1!$E$8)*G13</f>
        <v>7983.5</v>
      </c>
      <c r="L13" s="4">
        <f>+Sheet1!$E$4*H13</f>
        <v>143360</v>
      </c>
      <c r="M13">
        <v>7</v>
      </c>
      <c r="N13" s="4">
        <f>+M13*Sheet1!$C$13</f>
        <v>93100</v>
      </c>
      <c r="O13" s="4">
        <f>+M13*Sheet1!$C$12</f>
        <v>15400</v>
      </c>
      <c r="P13" s="4">
        <f>+N13+L13+K13+J13+I13</f>
        <v>355631.5</v>
      </c>
    </row>
    <row r="14" spans="2:16" x14ac:dyDescent="0.25">
      <c r="N14" s="6" t="s">
        <v>55</v>
      </c>
      <c r="O14" s="6"/>
    </row>
    <row r="15" spans="2:16" x14ac:dyDescent="0.25">
      <c r="N15" t="s">
        <v>7</v>
      </c>
      <c r="P15">
        <f>+Sheet1!$C$11</f>
        <v>16512</v>
      </c>
    </row>
    <row r="16" spans="2:16" x14ac:dyDescent="0.25">
      <c r="N16" t="s">
        <v>43</v>
      </c>
      <c r="P16">
        <f>+Sheet1!$C$10</f>
        <v>9600</v>
      </c>
    </row>
    <row r="17" spans="2:16" x14ac:dyDescent="0.25">
      <c r="M17" s="10" t="s">
        <v>22</v>
      </c>
      <c r="N17" s="7" t="s">
        <v>56</v>
      </c>
      <c r="O17" s="8"/>
      <c r="P17" s="9">
        <f>+P16+P15+P13</f>
        <v>381743.5</v>
      </c>
    </row>
    <row r="20" spans="2:16" x14ac:dyDescent="0.25">
      <c r="B20" s="2" t="s">
        <v>27</v>
      </c>
      <c r="F20" s="2" t="s">
        <v>21</v>
      </c>
      <c r="G20" s="2" t="s">
        <v>32</v>
      </c>
      <c r="H20" s="2" t="s">
        <v>50</v>
      </c>
      <c r="I20" s="2" t="s">
        <v>47</v>
      </c>
      <c r="J20" s="2" t="s">
        <v>48</v>
      </c>
      <c r="K20" s="2" t="s">
        <v>49</v>
      </c>
      <c r="L20" s="2" t="s">
        <v>10</v>
      </c>
      <c r="M20" s="2" t="s">
        <v>52</v>
      </c>
      <c r="N20" s="2" t="s">
        <v>51</v>
      </c>
      <c r="O20" s="2" t="s">
        <v>8</v>
      </c>
      <c r="P20" s="2" t="s">
        <v>53</v>
      </c>
    </row>
    <row r="21" spans="2:16" x14ac:dyDescent="0.25">
      <c r="B21" s="3" t="s">
        <v>28</v>
      </c>
      <c r="F21">
        <v>8</v>
      </c>
      <c r="G21">
        <v>16</v>
      </c>
      <c r="H21">
        <v>1</v>
      </c>
      <c r="I21" s="4">
        <f>+G21*Sheet1!$E$2</f>
        <v>120432</v>
      </c>
      <c r="J21" s="4">
        <f>+(Sheet1!$E$5+Sheet1!$E$6)*G21</f>
        <v>6640</v>
      </c>
      <c r="K21" s="4">
        <f>+(Sheet1!$E$7+Sheet1!$E$8)*G21</f>
        <v>9124</v>
      </c>
      <c r="L21" s="4">
        <f>+Sheet1!$E$4*H21</f>
        <v>20480</v>
      </c>
      <c r="M21">
        <v>7</v>
      </c>
      <c r="N21" s="4">
        <f>+M21*Sheet1!$C$13</f>
        <v>93100</v>
      </c>
      <c r="O21" s="4">
        <f>+M21*Sheet1!$C$12</f>
        <v>15400</v>
      </c>
      <c r="P21" s="4">
        <f>+N21+L21+K21+J21+I21</f>
        <v>249776</v>
      </c>
    </row>
    <row r="22" spans="2:16" x14ac:dyDescent="0.25">
      <c r="B22" s="3" t="s">
        <v>29</v>
      </c>
      <c r="F22">
        <v>9</v>
      </c>
      <c r="G22">
        <v>18</v>
      </c>
      <c r="H22">
        <v>1</v>
      </c>
      <c r="I22" s="4">
        <f>+G22*Sheet1!$E$2</f>
        <v>135486</v>
      </c>
      <c r="J22" s="4">
        <f>+(Sheet1!$E$5+Sheet1!$E$6)*G22</f>
        <v>7470</v>
      </c>
      <c r="K22" s="4">
        <f>+(Sheet1!$E$7+Sheet1!$E$8)*G22</f>
        <v>10264.5</v>
      </c>
      <c r="L22" s="4">
        <f>+Sheet1!$E$4*H22</f>
        <v>20480</v>
      </c>
      <c r="M22">
        <v>7</v>
      </c>
      <c r="N22" s="4">
        <f>+M22*Sheet1!$C$13</f>
        <v>93100</v>
      </c>
      <c r="O22" s="4">
        <f>+M22*Sheet1!$C$12</f>
        <v>15400</v>
      </c>
      <c r="P22" s="4">
        <f>+N22+L22+K22+J22+I22</f>
        <v>266800.5</v>
      </c>
    </row>
    <row r="23" spans="2:16" x14ac:dyDescent="0.25">
      <c r="B23" s="3" t="s">
        <v>30</v>
      </c>
      <c r="F23">
        <v>8</v>
      </c>
      <c r="G23">
        <v>16</v>
      </c>
      <c r="H23">
        <v>1</v>
      </c>
      <c r="I23" s="4">
        <f>+G23*Sheet1!$E$2</f>
        <v>120432</v>
      </c>
      <c r="J23" s="4">
        <f>+(Sheet1!$E$5+Sheet1!$E$6)*G23</f>
        <v>6640</v>
      </c>
      <c r="K23" s="4">
        <f>+(Sheet1!$E$7+Sheet1!$E$8)*G23</f>
        <v>9124</v>
      </c>
      <c r="L23" s="4">
        <f>+Sheet1!$E$4*H23</f>
        <v>20480</v>
      </c>
      <c r="M23">
        <v>7</v>
      </c>
      <c r="N23" s="4">
        <f>+M23*Sheet1!$C$13</f>
        <v>93100</v>
      </c>
      <c r="O23" s="4">
        <f>+M23*Sheet1!$C$12</f>
        <v>15400</v>
      </c>
      <c r="P23" s="4">
        <f t="shared" ref="P23:P24" si="0">+N23+L23+K23+J23+I23</f>
        <v>249776</v>
      </c>
    </row>
    <row r="24" spans="2:16" x14ac:dyDescent="0.25">
      <c r="B24" s="3" t="s">
        <v>31</v>
      </c>
      <c r="F24">
        <v>1</v>
      </c>
      <c r="G24">
        <v>2</v>
      </c>
      <c r="H24">
        <v>1</v>
      </c>
      <c r="I24" s="4">
        <f>+G24*Sheet1!$E$2</f>
        <v>15054</v>
      </c>
      <c r="J24" s="4">
        <f>+(Sheet1!$E$5+Sheet1!$E$6)*G24</f>
        <v>830</v>
      </c>
      <c r="K24" s="4">
        <f>+(Sheet1!$E$7+Sheet1!$E$8)*G24</f>
        <v>1140.5</v>
      </c>
      <c r="L24" s="4">
        <f>+Sheet1!$E$4*H24</f>
        <v>20480</v>
      </c>
      <c r="M24">
        <v>7</v>
      </c>
      <c r="N24" s="4">
        <f>+M24*Sheet1!$C$13</f>
        <v>93100</v>
      </c>
      <c r="O24" s="4">
        <f>+M24*Sheet1!$C$12</f>
        <v>15400</v>
      </c>
      <c r="P24" s="4">
        <f t="shared" si="0"/>
        <v>130604.5</v>
      </c>
    </row>
    <row r="25" spans="2:16" x14ac:dyDescent="0.25">
      <c r="N25" s="6" t="s">
        <v>55</v>
      </c>
      <c r="O25" s="6"/>
    </row>
    <row r="26" spans="2:16" x14ac:dyDescent="0.25">
      <c r="N26" t="s">
        <v>7</v>
      </c>
      <c r="P26">
        <f>+Sheet1!$C$11</f>
        <v>16512</v>
      </c>
    </row>
    <row r="27" spans="2:16" x14ac:dyDescent="0.25">
      <c r="N27" t="s">
        <v>43</v>
      </c>
      <c r="P27">
        <f>+Sheet1!$C$10</f>
        <v>9600</v>
      </c>
    </row>
    <row r="28" spans="2:16" x14ac:dyDescent="0.25">
      <c r="M28" s="10" t="s">
        <v>27</v>
      </c>
      <c r="N28" s="7" t="s">
        <v>56</v>
      </c>
      <c r="O28" s="8"/>
      <c r="P28" s="9">
        <f>+P27+P26+P24+P21+P22+P23</f>
        <v>923069</v>
      </c>
    </row>
    <row r="33" spans="2:3" x14ac:dyDescent="0.25">
      <c r="B33" s="6" t="s">
        <v>58</v>
      </c>
    </row>
    <row r="34" spans="2:3" x14ac:dyDescent="0.25">
      <c r="B34" t="s">
        <v>23</v>
      </c>
      <c r="C34" t="s">
        <v>26</v>
      </c>
    </row>
    <row r="35" spans="2:3" x14ac:dyDescent="0.25">
      <c r="B35" t="s">
        <v>24</v>
      </c>
    </row>
    <row r="36" spans="2:3" x14ac:dyDescent="0.25">
      <c r="B36" t="s">
        <v>25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Karsten</dc:creator>
  <cp:lastModifiedBy>Gregory Karsten</cp:lastModifiedBy>
  <dcterms:created xsi:type="dcterms:W3CDTF">2025-11-18T11:55:15Z</dcterms:created>
  <dcterms:modified xsi:type="dcterms:W3CDTF">2025-11-18T17:21:15Z</dcterms:modified>
</cp:coreProperties>
</file>